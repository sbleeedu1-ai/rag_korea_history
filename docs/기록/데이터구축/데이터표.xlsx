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현황" sheetId="1" state="visible" r:id="rId1"/>
    <sheet xmlns:r="http://schemas.openxmlformats.org/officeDocument/2006/relationships" name="기사 목록" sheetId="2" state="visible" r:id="rId2"/>
    <sheet xmlns:r="http://schemas.openxmlformats.org/officeDocument/2006/relationships" name="제외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i val="1"/>
      <sz val="9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left style="thin">
        <color rgb="00B7BDC4"/>
      </left>
      <right style="thin">
        <color rgb="00B7BDC4"/>
      </right>
      <top style="thin">
        <color rgb="00B7BDC4"/>
      </top>
      <bottom style="thin">
        <color rgb="00B7BD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right" vertical="top"/>
    </xf>
    <xf numFmtId="0" fontId="4" fillId="0" borderId="0" pivotButton="0" quotePrefix="0" xfId="0"/>
    <xf numFmtId="0" fontId="5" fillId="0" borderId="0" pivotButton="0" quotePrefix="0" xfId="0"/>
    <xf numFmtId="3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E4" authorId="0" shapeId="0">
      <text>
        <t>실록 원문 ZIP 전체 기사 수. 출처: 데이터구축.md 5절(제목·날짜 색인을 만들 때 셈)</t>
      </text>
    </comment>
    <comment ref="E5" authorId="0" shapeId="0">
      <text>
        <t>한능검 심화 65-79회 중 조선(태조-철종) 문항 수. 출처: 한능검_출제빈도_문항별_20260929.csv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  <col width="12" customWidth="1" min="4" max="4"/>
    <col width="14" customWidth="1" min="5" max="5"/>
    <col width="19" customWidth="1" min="6" max="6"/>
    <col width="14" customWidth="1" min="7" max="7"/>
    <col width="16" customWidth="1" min="8" max="8"/>
    <col width="50" customWidth="1" min="9" max="9"/>
  </cols>
  <sheetData>
    <row r="1">
      <c r="A1" s="1" t="inlineStr">
        <is>
          <t>데이터 현황 (로드맵 2단계 데이터 표)</t>
        </is>
      </c>
    </row>
    <row r="3">
      <c r="A3" s="2" t="inlineStr">
        <is>
          <t>자료</t>
        </is>
      </c>
      <c r="B3" s="2" t="inlineStr">
        <is>
          <t>출처</t>
        </is>
      </c>
      <c r="C3" s="2" t="inlineStr">
        <is>
          <t>이용 조건</t>
        </is>
      </c>
      <c r="D3" s="2" t="inlineStr">
        <is>
          <t>기준일</t>
        </is>
      </c>
      <c r="E3" s="2" t="inlineStr">
        <is>
          <t>전체 문서 수</t>
        </is>
      </c>
      <c r="F3" s="2" t="inlineStr">
        <is>
          <t>실제 사용 문서 수</t>
        </is>
      </c>
      <c r="G3" s="2" t="inlineStr">
        <is>
          <t>총 글자 수</t>
        </is>
      </c>
      <c r="H3" s="2" t="inlineStr">
        <is>
          <t>제외한 문서 수</t>
        </is>
      </c>
      <c r="I3" s="2" t="inlineStr">
        <is>
          <t>제외·비고</t>
        </is>
      </c>
    </row>
    <row r="4">
      <c r="A4" s="3" t="inlineStr">
        <is>
          <t>조선왕조실록 원문(한문 XML)</t>
        </is>
      </c>
      <c r="B4" s="3" t="inlineStr">
        <is>
          <t>국사편찬위원회, 공공데이터포털 '교육부 국사편찬위원회_조선왕조실록 정보_실록원문'</t>
        </is>
      </c>
      <c r="C4" s="3" t="inlineStr">
        <is>
          <t>공공누리 제1유형 + AI 활용 허용</t>
        </is>
      </c>
      <c r="D4" s="3" t="inlineStr">
        <is>
          <t>2026-08-21</t>
        </is>
      </c>
      <c r="E4" s="4" t="n">
        <v>381144</v>
      </c>
      <c r="F4" s="4">
        <f>'기사 목록'!C134</f>
        <v/>
      </c>
      <c r="G4" s="4">
        <f>'기사 목록'!G134</f>
        <v/>
      </c>
      <c r="H4" s="4">
        <f>E4-F4</f>
        <v/>
      </c>
      <c r="I4" s="3" t="inlineStr">
        <is>
          <t>한능검 조선 문항의 주제·정답 근거에 해당하는 기사만 골라 씀(나머지는 고르지 않음). 태조-철종. XML 제어 문자(깨진 글자)는 추출 때 지움, 스캔본 없음. 글자 수는 고른 기사의 원문</t>
        </is>
      </c>
    </row>
    <row r="5">
      <c r="A5" s="3" t="inlineStr">
        <is>
          <t>한능검 심화 65-79회 기출(기사 고르는 기준)</t>
        </is>
      </c>
      <c r="B5" s="3" t="inlineStr">
        <is>
          <t>국사편찬위원회 한국사능력검정시험 자료실</t>
        </is>
      </c>
      <c r="C5" s="3" t="inlineStr">
        <is>
          <t>공공누리 제4유형(문항 원문은 저장소에 넣지 않음)</t>
        </is>
      </c>
      <c r="D5" s="3" t="inlineStr">
        <is>
          <t>-</t>
        </is>
      </c>
      <c r="E5" s="4" t="n">
        <v>148</v>
      </c>
      <c r="F5" s="4">
        <f>E5-H5</f>
        <v/>
      </c>
      <c r="G5" s="4" t="inlineStr">
        <is>
          <t>-</t>
        </is>
      </c>
      <c r="H5" s="4">
        <f>COUNTA('제외 목록'!A2:A18)</f>
        <v/>
      </c>
      <c r="I5" s="3" t="inlineStr">
        <is>
          <t>조선(태조-철종) 문항만 셈. 제외: 실록에서 정답 근거를 찾지 못한 문항(제외 목록 시트). 고종 이후·고려 문항은 처음부터 셈에서 뺌</t>
        </is>
      </c>
    </row>
    <row r="6">
      <c r="A6" s="3" t="inlineStr">
        <is>
          <t>우리 번역·청크(가공 결과)</t>
        </is>
      </c>
      <c r="B6" s="3" t="inlineStr">
        <is>
          <t>직접 번역: 한문 원문만 보고 AI 초안 + 사람 검수 242곳</t>
        </is>
      </c>
      <c r="C6" s="3" t="inlineStr">
        <is>
          <t>프로젝트 산출물(국역·신역은 넣지 않음)</t>
        </is>
      </c>
      <c r="D6" s="3" t="inlineStr">
        <is>
          <t>-</t>
        </is>
      </c>
      <c r="E6" s="4">
        <f>'기사 목록'!C134</f>
        <v/>
      </c>
      <c r="F6" s="4">
        <f>'기사 목록'!C134</f>
        <v/>
      </c>
      <c r="G6" s="4">
        <f>'기사 목록'!H134</f>
        <v/>
      </c>
      <c r="H6" s="4" t="n">
        <v>0</v>
      </c>
      <c r="I6" s="3">
        <f>"청크 "&amp;TEXT('기사 목록'!I134,"#,##0")&amp;"개(정제·청킹 규칙서 v2)"</f>
        <v/>
      </c>
    </row>
    <row r="8">
      <c r="A8" s="5" t="inlineStr">
        <is>
          <t>수집일은 적지 않음: 실록 원문은 다시 받을 일이 없음(원문 ZIP 기준일로 판을 구분). 근거는 '기사 목록'·'제외 목록' 시트, 합계는 그 시트를 가리키는 수식.</t>
        </is>
      </c>
    </row>
    <row r="10">
      <c r="A10" s="6" t="inlineStr">
        <is>
          <t>→ 기사 목록 시트 보기(기사 132건)</t>
        </is>
      </c>
    </row>
    <row r="11">
      <c r="A11" s="6" t="inlineStr">
        <is>
          <t>→ 제외 목록 시트 보기(제외한 한능검 문항 17개)</t>
        </is>
      </c>
    </row>
  </sheetData>
  <hyperlinks>
    <hyperlink ref="A10" location="'기사 목록'!A1" display="→ 기사 목록 시트 보기(기사 132건)"/>
    <hyperlink ref="A11" location="'제외 목록'!A1" display="→ 제외 목록 시트 보기(제외한 한능검 문항 17개)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18" customWidth="1" min="3" max="3"/>
    <col width="14" customWidth="1" min="4" max="4"/>
    <col width="12" customWidth="1" min="5" max="5"/>
    <col width="50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2" t="inlineStr">
        <is>
          <t>순번</t>
        </is>
      </c>
      <c r="B1" s="2" t="inlineStr">
        <is>
          <t>주제묶음</t>
        </is>
      </c>
      <c r="C1" s="2" t="inlineStr">
        <is>
          <t>기사ID</t>
        </is>
      </c>
      <c r="D1" s="2" t="inlineStr">
        <is>
          <t>실록</t>
        </is>
      </c>
      <c r="E1" s="2" t="inlineStr">
        <is>
          <t>날짜</t>
        </is>
      </c>
      <c r="F1" s="2" t="inlineStr">
        <is>
          <t>제목</t>
        </is>
      </c>
      <c r="G1" s="2" t="inlineStr">
        <is>
          <t>원문 글자 수</t>
        </is>
      </c>
      <c r="H1" s="2" t="inlineStr">
        <is>
          <t>번역 글자 수</t>
        </is>
      </c>
      <c r="I1" s="2" t="inlineStr">
        <is>
          <t>청크 수</t>
        </is>
      </c>
      <c r="J1" s="2" t="inlineStr">
        <is>
          <t>고른 이유</t>
        </is>
      </c>
      <c r="L1" s="6" t="inlineStr">
        <is>
          <t>← 데이터 현황으로</t>
        </is>
      </c>
    </row>
    <row r="2">
      <c r="A2" s="3" t="n">
        <v>1</v>
      </c>
      <c r="B2" s="3" t="inlineStr">
        <is>
          <t>훈민정음 창제</t>
        </is>
      </c>
      <c r="C2" s="3" t="inlineStr">
        <is>
          <t>wda_12512030_002</t>
        </is>
      </c>
      <c r="D2" s="3" t="inlineStr">
        <is>
          <t>世宗實錄</t>
        </is>
      </c>
      <c r="E2" s="3" t="inlineStr">
        <is>
          <t>1443-12-30</t>
        </is>
      </c>
      <c r="F2" s="3" t="inlineStr">
        <is>
          <t>훈민정음을 창제하다</t>
        </is>
      </c>
      <c r="G2" s="7" t="n">
        <v>82</v>
      </c>
      <c r="H2" s="7" t="n">
        <v>139</v>
      </c>
      <c r="I2" s="7" t="n">
        <v>1</v>
      </c>
      <c r="J2" s="3" t="inlineStr">
        <is>
          <t>최만리 등 언문 반대 상소 사건: 훈민정음을 창제하다</t>
        </is>
      </c>
    </row>
    <row r="3">
      <c r="A3" s="3" t="n">
        <v>2</v>
      </c>
      <c r="B3" s="3" t="inlineStr">
        <is>
          <t>훈민정음 창제</t>
        </is>
      </c>
      <c r="C3" s="3" t="inlineStr">
        <is>
          <t>wda_12602016_001</t>
        </is>
      </c>
      <c r="D3" s="3" t="inlineStr">
        <is>
          <t>世宗實錄</t>
        </is>
      </c>
      <c r="E3" s="3" t="inlineStr">
        <is>
          <t>1444-02-16</t>
        </is>
      </c>
      <c r="F3" s="3" t="inlineStr">
        <is>
          <t>집현전 교리 최항·부교리 박팽년 등에게 언문으로 《운회》를 번역하게 하다</t>
        </is>
      </c>
      <c r="G3" s="7" t="n">
        <v>93</v>
      </c>
      <c r="H3" s="7" t="n">
        <v>248</v>
      </c>
      <c r="I3" s="7" t="n">
        <v>1</v>
      </c>
      <c r="J3" s="3" t="inlineStr">
        <is>
          <t>최만리 등 언문 반대 상소 사건: 집현전 교리 최항·부교리 박팽년 등에게 언문으로 《운회》를 번역하게 하다</t>
        </is>
      </c>
    </row>
    <row r="4">
      <c r="A4" s="3" t="n">
        <v>3</v>
      </c>
      <c r="B4" s="3" t="inlineStr">
        <is>
          <t>훈민정음 창제</t>
        </is>
      </c>
      <c r="C4" s="3" t="inlineStr">
        <is>
          <t>wda_12602020_001</t>
        </is>
      </c>
      <c r="D4" s="3" t="inlineStr">
        <is>
          <t>世宗實錄</t>
        </is>
      </c>
      <c r="E4" s="3" t="inlineStr">
        <is>
          <t>1444-02-20</t>
        </is>
      </c>
      <c r="F4" s="3" t="inlineStr">
        <is>
          <t>집현전 부제학 최만리 등이 언문 제작의 부당함을 아뢰다</t>
        </is>
      </c>
      <c r="G4" s="7" t="n">
        <v>2132</v>
      </c>
      <c r="H4" s="7" t="n">
        <v>4272</v>
      </c>
      <c r="I4" s="7" t="n">
        <v>15</v>
      </c>
      <c r="J4" s="3" t="inlineStr">
        <is>
          <t>최만리 등 언문 반대 상소 사건: 집현전 부제학 최만리 등이 언문 제작의 부당함을 아뢰다</t>
        </is>
      </c>
    </row>
    <row r="5">
      <c r="A5" s="3" t="n">
        <v>4</v>
      </c>
      <c r="B5" s="3" t="inlineStr">
        <is>
          <t>훈민정음 창제</t>
        </is>
      </c>
      <c r="C5" s="3" t="inlineStr">
        <is>
          <t>wda_12602021_001</t>
        </is>
      </c>
      <c r="D5" s="3" t="inlineStr">
        <is>
          <t>世宗實錄</t>
        </is>
      </c>
      <c r="E5" s="3" t="inlineStr">
        <is>
          <t>1444-02-21</t>
        </is>
      </c>
      <c r="F5" s="3" t="inlineStr">
        <is>
          <t>언문 제작에 불가함이 없다 말하고 다시 이를 반대한 직전 김문에 장 1백 대를 속바치게 하다</t>
        </is>
      </c>
      <c r="G5" s="7" t="n">
        <v>39</v>
      </c>
      <c r="H5" s="7" t="n">
        <v>143</v>
      </c>
      <c r="I5" s="7" t="n">
        <v>1</v>
      </c>
      <c r="J5" s="3" t="inlineStr">
        <is>
          <t>최만리 등 언문 반대 상소 사건: 언문 제작에 불가함이 없다 말하고 다시 이를 반대한 직전 김문에 장 1백 대를 속바치게 하다</t>
        </is>
      </c>
    </row>
    <row r="6">
      <c r="A6" s="3" t="n">
        <v>5</v>
      </c>
      <c r="B6" s="3" t="inlineStr">
        <is>
          <t>훈민정음 창제</t>
        </is>
      </c>
      <c r="C6" s="3" t="inlineStr">
        <is>
          <t>wda_12602028_001</t>
        </is>
      </c>
      <c r="D6" s="3" t="inlineStr">
        <is>
          <t>世宗實錄</t>
        </is>
      </c>
      <c r="E6" s="3" t="inlineStr">
        <is>
          <t>1444-02-28</t>
        </is>
      </c>
      <c r="F6" s="3" t="inlineStr">
        <is>
          <t>임금과 왕비가 청주 초수리에 거둥하다</t>
        </is>
      </c>
      <c r="G6" s="7" t="n">
        <v>20</v>
      </c>
      <c r="H6" s="7" t="n">
        <v>36</v>
      </c>
      <c r="I6" s="7" t="n">
        <v>1</v>
      </c>
      <c r="J6" s="3" t="inlineStr">
        <is>
          <t>최만리 등 언문 반대 상소 사건: 임금과 왕비가 청주 초수리에 거둥하다</t>
        </is>
      </c>
    </row>
    <row r="7">
      <c r="A7" s="3" t="n">
        <v>6</v>
      </c>
      <c r="B7" s="3" t="inlineStr">
        <is>
          <t>훈민정음 창제</t>
        </is>
      </c>
      <c r="C7" s="3" t="inlineStr">
        <is>
          <t>wda_12603002_001</t>
        </is>
      </c>
      <c r="D7" s="3" t="inlineStr">
        <is>
          <t>世宗實錄</t>
        </is>
      </c>
      <c r="E7" s="3" t="inlineStr">
        <is>
          <t>1444-03-02</t>
        </is>
      </c>
      <c r="F7" s="3" t="inlineStr">
        <is>
          <t>거가가 초수리에 이르다</t>
        </is>
      </c>
      <c r="G7" s="7" t="n">
        <v>11</v>
      </c>
      <c r="H7" s="7" t="n">
        <v>17</v>
      </c>
      <c r="I7" s="7" t="n">
        <v>1</v>
      </c>
      <c r="J7" s="3" t="inlineStr">
        <is>
          <t>최만리 등 언문 반대 상소 사건: 거가가 초수리에 이르다</t>
        </is>
      </c>
    </row>
    <row r="8">
      <c r="A8" s="3" t="n">
        <v>7</v>
      </c>
      <c r="B8" s="3" t="inlineStr">
        <is>
          <t>훈민정음 창제</t>
        </is>
      </c>
      <c r="C8" s="3" t="inlineStr">
        <is>
          <t>wda_12809029_004</t>
        </is>
      </c>
      <c r="D8" s="3" t="inlineStr">
        <is>
          <t>世宗實錄</t>
        </is>
      </c>
      <c r="E8" s="3" t="inlineStr">
        <is>
          <t>1446-09-29</t>
        </is>
      </c>
      <c r="F8" s="3" t="inlineStr">
        <is>
          <t>《훈민정음》이 이루어지다. 어제와 예조 판서 정인지의 서문</t>
        </is>
      </c>
      <c r="G8" s="7" t="n">
        <v>1103</v>
      </c>
      <c r="H8" s="7" t="n">
        <v>2078</v>
      </c>
      <c r="I8" s="7" t="n">
        <v>4</v>
      </c>
      <c r="J8" s="3" t="inlineStr">
        <is>
          <t>최만리 등 언문 반대 상소 사건: 《훈민정음》이 이루어지다. 어제와 예조 판서 정인지의 서문</t>
        </is>
      </c>
    </row>
    <row r="9">
      <c r="A9" s="3" t="n">
        <v>8</v>
      </c>
      <c r="B9" s="3" t="inlineStr">
        <is>
          <t>조선 건국·태조·태종</t>
        </is>
      </c>
      <c r="C9" s="3" t="inlineStr">
        <is>
          <t>waa_000083</t>
        </is>
      </c>
      <c r="D9" s="3" t="inlineStr">
        <is>
          <t>太祖實錄</t>
        </is>
      </c>
      <c r="E9" s="3" t="inlineStr">
        <is>
          <t>총서</t>
        </is>
      </c>
      <c r="F9" s="3" t="inlineStr">
        <is>
          <t>요동 정벌이 결정되었으나, 4가지 불가한 이유를 들어 태조가 반대하다</t>
        </is>
      </c>
      <c r="G9" s="7" t="n">
        <v>645</v>
      </c>
      <c r="H9" s="7" t="n">
        <v>1484</v>
      </c>
      <c r="I9" s="7" t="n">
        <v>8</v>
      </c>
      <c r="J9" s="3" t="inlineStr">
        <is>
          <t>요동 정벌 4불가론(위화도 회군 직전)</t>
        </is>
      </c>
    </row>
    <row r="10">
      <c r="A10" s="3" t="n">
        <v>9</v>
      </c>
      <c r="B10" s="3" t="inlineStr">
        <is>
          <t>조선 건국·태조·태종</t>
        </is>
      </c>
      <c r="C10" s="3" t="inlineStr">
        <is>
          <t>waa_000084</t>
        </is>
      </c>
      <c r="D10" s="3" t="inlineStr">
        <is>
          <t>太祖實錄</t>
        </is>
      </c>
      <c r="E10" s="3" t="inlineStr">
        <is>
          <t>총서</t>
        </is>
      </c>
      <c r="F10" s="3" t="inlineStr">
        <is>
          <t>태조가 조민수와 함께 위화도에서 회군하다</t>
        </is>
      </c>
      <c r="G10" s="7" t="n">
        <v>977</v>
      </c>
      <c r="H10" s="7" t="n">
        <v>2039</v>
      </c>
      <c r="I10" s="7" t="n">
        <v>9</v>
      </c>
      <c r="J10" s="3" t="inlineStr">
        <is>
          <t>위화도 회군</t>
        </is>
      </c>
    </row>
    <row r="11">
      <c r="A11" s="3" t="n">
        <v>10</v>
      </c>
      <c r="B11" s="3" t="inlineStr">
        <is>
          <t>조선 건국·태조·태종</t>
        </is>
      </c>
      <c r="C11" s="3" t="inlineStr">
        <is>
          <t>waa_000131</t>
        </is>
      </c>
      <c r="D11" s="3" t="inlineStr">
        <is>
          <t>太祖實錄</t>
        </is>
      </c>
      <c r="E11" s="3" t="inlineStr">
        <is>
          <t>총서</t>
        </is>
      </c>
      <c r="F11" s="3" t="inlineStr">
        <is>
          <t>정몽주가 조준 등을 처형코자 하니, 태종이 정몽주를 죽이고 일당을 탄핵하다</t>
        </is>
      </c>
      <c r="G11" s="7" t="n">
        <v>1473</v>
      </c>
      <c r="H11" s="7" t="n">
        <v>3191</v>
      </c>
      <c r="I11" s="7" t="n">
        <v>18</v>
      </c>
      <c r="J11" s="3" t="inlineStr">
        <is>
          <t>정몽주 피살(이방원)</t>
        </is>
      </c>
    </row>
    <row r="12">
      <c r="A12" s="3" t="n">
        <v>11</v>
      </c>
      <c r="B12" s="3" t="inlineStr">
        <is>
          <t>조선 건국·태조·태종</t>
        </is>
      </c>
      <c r="C12" s="3" t="inlineStr">
        <is>
          <t>waa_10107017_001</t>
        </is>
      </c>
      <c r="D12" s="3" t="inlineStr">
        <is>
          <t>太祖實錄</t>
        </is>
      </c>
      <c r="E12" s="3" t="inlineStr">
        <is>
          <t>1392-07-17</t>
        </is>
      </c>
      <c r="F12" s="3" t="inlineStr">
        <is>
          <t>태조가 백관의 추대를 받아 수창궁에서 왕위에 오르다</t>
        </is>
      </c>
      <c r="G12" s="7" t="n">
        <v>1432</v>
      </c>
      <c r="H12" s="7" t="n">
        <v>2933</v>
      </c>
      <c r="I12" s="7" t="n">
        <v>11</v>
      </c>
      <c r="J12" s="3" t="inlineStr">
        <is>
          <t>태조 즉위</t>
        </is>
      </c>
    </row>
    <row r="13">
      <c r="A13" s="3" t="n">
        <v>12</v>
      </c>
      <c r="B13" s="3" t="inlineStr">
        <is>
          <t>조선 건국·태조·태종</t>
        </is>
      </c>
      <c r="C13" s="3" t="inlineStr">
        <is>
          <t>waa_10308013_001</t>
        </is>
      </c>
      <c r="D13" s="3" t="inlineStr">
        <is>
          <t>太祖實錄</t>
        </is>
      </c>
      <c r="E13" s="3" t="inlineStr">
        <is>
          <t>1394-08-13</t>
        </is>
      </c>
      <c r="F13" s="3" t="inlineStr">
        <is>
          <t>왕사 자초와 여러 신하들의 의견을 들어 한양을 도읍으로 정하다. 적성 광실원이 좋다는 의견도 나오다</t>
        </is>
      </c>
      <c r="G13" s="7" t="n">
        <v>335</v>
      </c>
      <c r="H13" s="7" t="n">
        <v>722</v>
      </c>
      <c r="I13" s="7" t="n">
        <v>6</v>
      </c>
      <c r="J13" s="3" t="inlineStr">
        <is>
          <t>한양 도읍 결정</t>
        </is>
      </c>
    </row>
    <row r="14">
      <c r="A14" s="3" t="n">
        <v>13</v>
      </c>
      <c r="B14" s="3" t="inlineStr">
        <is>
          <t>조선 건국·태조·태종</t>
        </is>
      </c>
      <c r="C14" s="3" t="inlineStr">
        <is>
          <t>waa_10708026_001</t>
        </is>
      </c>
      <c r="D14" s="3" t="inlineStr">
        <is>
          <t>太祖實錄</t>
        </is>
      </c>
      <c r="E14" s="3" t="inlineStr">
        <is>
          <t>1398-08-26</t>
        </is>
      </c>
      <c r="F14" s="3" t="inlineStr">
        <is>
          <t>제1차 왕자의 난. 정도전·남은·심효생 등이 숙청되다</t>
        </is>
      </c>
      <c r="G14" s="7" t="n">
        <v>5635</v>
      </c>
      <c r="H14" s="7" t="n">
        <v>11296</v>
      </c>
      <c r="I14" s="7" t="n">
        <v>73</v>
      </c>
      <c r="J14" s="3" t="inlineStr">
        <is>
          <t>제1차 왕자의 난·정도전 숙청</t>
        </is>
      </c>
    </row>
    <row r="15">
      <c r="A15" s="3" t="n">
        <v>14</v>
      </c>
      <c r="B15" s="3" t="inlineStr">
        <is>
          <t>조선 건국·태조·태종</t>
        </is>
      </c>
      <c r="C15" s="3" t="inlineStr">
        <is>
          <t>wba_10204006_009</t>
        </is>
      </c>
      <c r="D15" s="3" t="inlineStr">
        <is>
          <t>定宗實錄</t>
        </is>
      </c>
      <c r="E15" s="3" t="inlineStr">
        <is>
          <t>1400-04-06</t>
        </is>
      </c>
      <c r="F15" s="3" t="inlineStr">
        <is>
          <t>사병을 혁파하니, 병권을 잃은 자들의 불만이 노출되다</t>
        </is>
      </c>
      <c r="G15" s="7" t="n">
        <v>785</v>
      </c>
      <c r="H15" s="7" t="n">
        <v>1595</v>
      </c>
      <c r="I15" s="7" t="n">
        <v>3</v>
      </c>
      <c r="J15" s="3" t="inlineStr">
        <is>
          <t>사병 혁파</t>
        </is>
      </c>
    </row>
    <row r="16">
      <c r="A16" s="3" t="n">
        <v>15</v>
      </c>
      <c r="B16" s="3" t="inlineStr">
        <is>
          <t>조선 건국·태조·태종</t>
        </is>
      </c>
      <c r="C16" s="3" t="inlineStr">
        <is>
          <t>wca_11404017_003</t>
        </is>
      </c>
      <c r="D16" s="3" t="inlineStr">
        <is>
          <t>太宗實錄</t>
        </is>
      </c>
      <c r="E16" s="3" t="inlineStr">
        <is>
          <t>1414-04-17</t>
        </is>
      </c>
      <c r="F16" s="3" t="inlineStr">
        <is>
          <t>정부조직 개편 일을 육조에서 나누어 맡도록 개혁하다</t>
        </is>
      </c>
      <c r="G16" s="7" t="n">
        <v>876</v>
      </c>
      <c r="H16" s="7" t="n">
        <v>1841</v>
      </c>
      <c r="I16" s="7" t="n">
        <v>9</v>
      </c>
      <c r="J16" s="3" t="inlineStr">
        <is>
          <t>6조 직계제 개편</t>
        </is>
      </c>
    </row>
    <row r="17">
      <c r="A17" s="3" t="n">
        <v>16</v>
      </c>
      <c r="B17" s="3" t="inlineStr">
        <is>
          <t>조선 건국·태조·태종</t>
        </is>
      </c>
      <c r="C17" s="3" t="inlineStr">
        <is>
          <t>wca_11003017_001</t>
        </is>
      </c>
      <c r="D17" s="3" t="inlineStr">
        <is>
          <t>太宗實錄</t>
        </is>
      </c>
      <c r="E17" s="3" t="inlineStr">
        <is>
          <t>1410-03-17</t>
        </is>
      </c>
      <c r="F17" s="3" t="inlineStr">
        <is>
          <t>제주에 있는 민무구·민무질에게 자결하게 하다</t>
        </is>
      </c>
      <c r="G17" s="7" t="n">
        <v>1088</v>
      </c>
      <c r="H17" s="7" t="n">
        <v>2174</v>
      </c>
      <c r="I17" s="7" t="n">
        <v>15</v>
      </c>
      <c r="J17" s="3" t="inlineStr">
        <is>
          <t>외척 민무구·민무질 자결</t>
        </is>
      </c>
    </row>
    <row r="18">
      <c r="A18" s="3" t="n">
        <v>17</v>
      </c>
      <c r="B18" s="3" t="inlineStr">
        <is>
          <t>궁궐·도성</t>
        </is>
      </c>
      <c r="C18" s="3" t="inlineStr">
        <is>
          <t>waa_10409029_006</t>
        </is>
      </c>
      <c r="D18" s="3" t="inlineStr">
        <is>
          <t>太祖實錄</t>
        </is>
      </c>
      <c r="E18" s="3" t="inlineStr">
        <is>
          <t>1395-09-29</t>
        </is>
      </c>
      <c r="F18" s="3" t="inlineStr">
        <is>
          <t>대묘와 새 궁궐이 준공되다. 그 규모와 구성 및 배치 상황</t>
        </is>
      </c>
      <c r="G18" s="7" t="n">
        <v>816</v>
      </c>
      <c r="H18" s="7" t="n">
        <v>1348</v>
      </c>
      <c r="I18" s="7" t="n">
        <v>4</v>
      </c>
      <c r="J18" s="3" t="inlineStr">
        <is>
          <t>종묘와 경복궁 준공</t>
        </is>
      </c>
    </row>
    <row r="19">
      <c r="A19" s="3" t="n">
        <v>18</v>
      </c>
      <c r="B19" s="3" t="inlineStr">
        <is>
          <t>궁궐·도성</t>
        </is>
      </c>
      <c r="C19" s="3" t="inlineStr">
        <is>
          <t>waa_10410007_002</t>
        </is>
      </c>
      <c r="D19" s="3" t="inlineStr">
        <is>
          <t>太祖實錄</t>
        </is>
      </c>
      <c r="E19" s="3" t="inlineStr">
        <is>
          <t>1395-10-07</t>
        </is>
      </c>
      <c r="F19" s="3" t="inlineStr">
        <is>
          <t>판삼사사 정도전에게 새 궁궐 전각의 이름을 짓게 하다</t>
        </is>
      </c>
      <c r="G19" s="7" t="n">
        <v>1707</v>
      </c>
      <c r="H19" s="7" t="n">
        <v>3384</v>
      </c>
      <c r="I19" s="7" t="n">
        <v>8</v>
      </c>
      <c r="J19" s="3" t="inlineStr">
        <is>
          <t>정도전이 경복궁 전각 이름을 짓다</t>
        </is>
      </c>
    </row>
    <row r="20">
      <c r="A20" s="3" t="n">
        <v>19</v>
      </c>
      <c r="B20" s="3" t="inlineStr">
        <is>
          <t>세종</t>
        </is>
      </c>
      <c r="C20" s="3" t="inlineStr">
        <is>
          <t>wda_10112012_001</t>
        </is>
      </c>
      <c r="D20" s="3" t="inlineStr">
        <is>
          <t>世宗實錄</t>
        </is>
      </c>
      <c r="E20" s="3" t="inlineStr">
        <is>
          <t>1419-12-12</t>
        </is>
      </c>
      <c r="F20" s="3" t="inlineStr">
        <is>
          <t>집현전을 설치하여 유사 10여 인을 뽑아 날마다 강론하게 하다</t>
        </is>
      </c>
      <c r="G20" s="7" t="n">
        <v>69</v>
      </c>
      <c r="H20" s="7" t="n">
        <v>153</v>
      </c>
      <c r="I20" s="7" t="n">
        <v>1</v>
      </c>
      <c r="J20" s="3" t="inlineStr">
        <is>
          <t>집현전 설치</t>
        </is>
      </c>
    </row>
    <row r="21">
      <c r="A21" s="3" t="n">
        <v>20</v>
      </c>
      <c r="B21" s="3" t="inlineStr">
        <is>
          <t>세종</t>
        </is>
      </c>
      <c r="C21" s="3" t="inlineStr">
        <is>
          <t>wda_11208010_005</t>
        </is>
      </c>
      <c r="D21" s="3" t="inlineStr">
        <is>
          <t>世宗實錄</t>
        </is>
      </c>
      <c r="E21" s="3" t="inlineStr">
        <is>
          <t>1430-08-10</t>
        </is>
      </c>
      <c r="F21" s="3" t="inlineStr">
        <is>
          <t>호조에서 공법에 대한 여러 의논을 갖추어 아뢰다</t>
        </is>
      </c>
      <c r="G21" s="7" t="n">
        <v>7177</v>
      </c>
      <c r="H21" s="7" t="n">
        <v>12313</v>
      </c>
      <c r="I21" s="7" t="n">
        <v>21</v>
      </c>
      <c r="J21" s="3" t="inlineStr">
        <is>
          <t>공법 여론 조사 결과</t>
        </is>
      </c>
    </row>
    <row r="22">
      <c r="A22" s="3" t="n">
        <v>21</v>
      </c>
      <c r="B22" s="3" t="inlineStr">
        <is>
          <t>세종</t>
        </is>
      </c>
      <c r="C22" s="3" t="inlineStr">
        <is>
          <t>wda_11610002_004</t>
        </is>
      </c>
      <c r="D22" s="3" t="inlineStr">
        <is>
          <t>世宗實錄</t>
        </is>
      </c>
      <c r="E22" s="3" t="inlineStr">
        <is>
          <t>1434-10-02</t>
        </is>
      </c>
      <c r="F22" s="3" t="inlineStr">
        <is>
          <t>처음으로 앙부일구를 혜정교와 종묘 앞에 설치하여 일영을 관측하다</t>
        </is>
      </c>
      <c r="G22" s="7" t="n">
        <v>138</v>
      </c>
      <c r="H22" s="7" t="n">
        <v>285</v>
      </c>
      <c r="I22" s="7" t="n">
        <v>1</v>
      </c>
      <c r="J22" s="3" t="inlineStr">
        <is>
          <t>앙부일구 설치</t>
        </is>
      </c>
    </row>
    <row r="23">
      <c r="A23" s="3" t="n">
        <v>22</v>
      </c>
      <c r="B23" s="3" t="inlineStr">
        <is>
          <t>세종</t>
        </is>
      </c>
      <c r="C23" s="3" t="inlineStr">
        <is>
          <t>wda_11602014_003</t>
        </is>
      </c>
      <c r="D23" s="3" t="inlineStr">
        <is>
          <t>世宗實錄</t>
        </is>
      </c>
      <c r="E23" s="3" t="inlineStr">
        <is>
          <t>1434-02-14</t>
        </is>
      </c>
      <c r="F23" s="3" t="inlineStr">
        <is>
          <t>함길도 감사 김종서가 경원·영북진의 성기와 그 포치의 조건들에 대하여 의견을 말하다</t>
        </is>
      </c>
      <c r="G23" s="7" t="n">
        <v>1083</v>
      </c>
      <c r="H23" s="7" t="n">
        <v>1893</v>
      </c>
      <c r="I23" s="7" t="n">
        <v>3</v>
      </c>
      <c r="J23" s="3" t="inlineStr">
        <is>
          <t>김종서의 6진 개척 방안</t>
        </is>
      </c>
    </row>
    <row r="24">
      <c r="A24" s="3" t="n">
        <v>23</v>
      </c>
      <c r="B24" s="3" t="inlineStr">
        <is>
          <t>세종</t>
        </is>
      </c>
      <c r="C24" s="3" t="inlineStr">
        <is>
          <t>wda_11811001_005</t>
        </is>
      </c>
      <c r="D24" s="3" t="inlineStr">
        <is>
          <t>世宗實錄</t>
        </is>
      </c>
      <c r="E24" s="3" t="inlineStr">
        <is>
          <t>1436-11-01</t>
        </is>
      </c>
      <c r="F24" s="3" t="inlineStr">
        <is>
          <t>4군 지역 방어에 대한 계책을 김종서·정흠지가 각각 올리다</t>
        </is>
      </c>
      <c r="G24" s="7" t="n">
        <v>3650</v>
      </c>
      <c r="H24" s="7" t="n">
        <v>6718</v>
      </c>
      <c r="I24" s="7" t="n">
        <v>26</v>
      </c>
      <c r="J24" s="3" t="inlineStr">
        <is>
          <t>4군 지역 방어 계책</t>
        </is>
      </c>
    </row>
    <row r="25">
      <c r="A25" s="3" t="n">
        <v>24</v>
      </c>
      <c r="B25" s="3" t="inlineStr">
        <is>
          <t>세종</t>
        </is>
      </c>
      <c r="C25" s="3" t="inlineStr">
        <is>
          <t>wda_10106009_005</t>
        </is>
      </c>
      <c r="D25" s="3" t="inlineStr">
        <is>
          <t>世宗實錄</t>
        </is>
      </c>
      <c r="E25" s="3" t="inlineStr">
        <is>
          <t>1419-06-09</t>
        </is>
      </c>
      <c r="F25" s="3" t="inlineStr">
        <is>
          <t>상왕이 대마도 정벌할 것에 대해 중외에 교유하다</t>
        </is>
      </c>
      <c r="G25" s="7" t="n">
        <v>539</v>
      </c>
      <c r="H25" s="7" t="n">
        <v>1063</v>
      </c>
      <c r="I25" s="7" t="n">
        <v>2</v>
      </c>
      <c r="J25" s="3" t="inlineStr">
        <is>
          <t>대마도(쓰시마) 정벌 교유</t>
        </is>
      </c>
    </row>
    <row r="26">
      <c r="A26" s="3" t="n">
        <v>25</v>
      </c>
      <c r="B26" s="3" t="inlineStr">
        <is>
          <t>세조·계유정난</t>
        </is>
      </c>
      <c r="C26" s="3" t="inlineStr">
        <is>
          <t>wfa_10110010_001</t>
        </is>
      </c>
      <c r="D26" s="3" t="inlineStr">
        <is>
          <t>端宗實錄</t>
        </is>
      </c>
      <c r="E26" s="3" t="inlineStr">
        <is>
          <t>1453-10-10</t>
        </is>
      </c>
      <c r="F26" s="3" t="inlineStr">
        <is>
          <t>세조가 이용과 결탁하여 반역하고자 했던 김종서·황보인·이양·조극관 등을 효수하다</t>
        </is>
      </c>
      <c r="G26" s="7" t="n">
        <v>3329</v>
      </c>
      <c r="H26" s="7" t="n">
        <v>6823</v>
      </c>
      <c r="I26" s="7" t="n">
        <v>42</v>
      </c>
      <c r="J26" s="3" t="inlineStr">
        <is>
          <t>계유정난</t>
        </is>
      </c>
    </row>
    <row r="27">
      <c r="A27" s="3" t="n">
        <v>26</v>
      </c>
      <c r="B27" s="3" t="inlineStr">
        <is>
          <t>세조·계유정난</t>
        </is>
      </c>
      <c r="C27" s="3" t="inlineStr">
        <is>
          <t>wga_10206002_002</t>
        </is>
      </c>
      <c r="D27" s="3" t="inlineStr">
        <is>
          <t>世祖實錄</t>
        </is>
      </c>
      <c r="E27" s="3" t="inlineStr">
        <is>
          <t>1456-06-02</t>
        </is>
      </c>
      <c r="F27" s="3" t="inlineStr">
        <is>
          <t>성균 사예 김질과 우찬성 정창손이 성삼문의 불궤를 고하다</t>
        </is>
      </c>
      <c r="G27" s="7" t="n">
        <v>1532</v>
      </c>
      <c r="H27" s="7" t="n">
        <v>2997</v>
      </c>
      <c r="I27" s="7" t="n">
        <v>6</v>
      </c>
      <c r="J27" s="3" t="inlineStr">
        <is>
          <t>성삼문 등 단종 복위 모의 발각(사육신)</t>
        </is>
      </c>
    </row>
    <row r="28">
      <c r="A28" s="3" t="n">
        <v>27</v>
      </c>
      <c r="B28" s="3" t="inlineStr">
        <is>
          <t>세조·계유정난</t>
        </is>
      </c>
      <c r="C28" s="3" t="inlineStr">
        <is>
          <t>wga_10306021_002</t>
        </is>
      </c>
      <c r="D28" s="3" t="inlineStr">
        <is>
          <t>世祖實錄</t>
        </is>
      </c>
      <c r="E28" s="3" t="inlineStr">
        <is>
          <t>1457-06-21</t>
        </is>
      </c>
      <c r="F28" s="3" t="inlineStr">
        <is>
          <t>판돈녕부사 송현수 등의 반역으로 상왕을 강봉하고 영월에 거주시키다</t>
        </is>
      </c>
      <c r="G28" s="7" t="n">
        <v>369</v>
      </c>
      <c r="H28" s="7" t="n">
        <v>676</v>
      </c>
      <c r="I28" s="7" t="n">
        <v>3</v>
      </c>
      <c r="J28" s="3" t="inlineStr">
        <is>
          <t>단종을 노산군으로 낮추어 영월로</t>
        </is>
      </c>
    </row>
    <row r="29">
      <c r="A29" s="3" t="n">
        <v>28</v>
      </c>
      <c r="B29" s="3" t="inlineStr">
        <is>
          <t>세조·계유정난</t>
        </is>
      </c>
      <c r="C29" s="3" t="inlineStr">
        <is>
          <t>wga_11305016_001</t>
        </is>
      </c>
      <c r="D29" s="3" t="inlineStr">
        <is>
          <t>世祖實錄</t>
        </is>
      </c>
      <c r="E29" s="3" t="inlineStr">
        <is>
          <t>1467-05-16</t>
        </is>
      </c>
      <c r="F29" s="3" t="inlineStr">
        <is>
          <t>전 회령 절제사 이시애가 반역을 모의하고 수령들을 살해하다</t>
        </is>
      </c>
      <c r="G29" s="7" t="n">
        <v>756</v>
      </c>
      <c r="H29" s="7" t="n">
        <v>1462</v>
      </c>
      <c r="I29" s="7" t="n">
        <v>4</v>
      </c>
      <c r="J29" s="3" t="inlineStr">
        <is>
          <t>이시애의 난</t>
        </is>
      </c>
    </row>
    <row r="30">
      <c r="A30" s="3" t="n">
        <v>29</v>
      </c>
      <c r="B30" s="3" t="inlineStr">
        <is>
          <t>세조·계유정난</t>
        </is>
      </c>
      <c r="C30" s="3" t="inlineStr">
        <is>
          <t>wga_11208025_005</t>
        </is>
      </c>
      <c r="D30" s="3" t="inlineStr">
        <is>
          <t>世祖實錄</t>
        </is>
      </c>
      <c r="E30" s="3" t="inlineStr">
        <is>
          <t>1466-08-25</t>
        </is>
      </c>
      <c r="F30" s="3" t="inlineStr">
        <is>
          <t>과전을 혁파하고 직전을 설치하다</t>
        </is>
      </c>
      <c r="G30" s="7" t="n">
        <v>9</v>
      </c>
      <c r="H30" s="7" t="n">
        <v>24</v>
      </c>
      <c r="I30" s="7" t="n">
        <v>1</v>
      </c>
      <c r="J30" s="3" t="inlineStr">
        <is>
          <t>과전 혁파·직전법</t>
        </is>
      </c>
    </row>
    <row r="31">
      <c r="A31" s="3" t="n">
        <v>30</v>
      </c>
      <c r="B31" s="3" t="inlineStr">
        <is>
          <t>성종 통치 정비</t>
        </is>
      </c>
      <c r="C31" s="3" t="inlineStr">
        <is>
          <t>wia_10501002_004</t>
        </is>
      </c>
      <c r="D31" s="3" t="inlineStr">
        <is>
          <t>成宗實錄</t>
        </is>
      </c>
      <c r="E31" s="3" t="inlineStr">
        <is>
          <t>1474-01-02</t>
        </is>
      </c>
      <c r="F31" s="3" t="inlineStr">
        <is>
          <t>《경국대전》과 그 속록을 개찬하여 반포하다</t>
        </is>
      </c>
      <c r="G31" s="7" t="n">
        <v>38</v>
      </c>
      <c r="H31" s="7" t="n">
        <v>64</v>
      </c>
      <c r="I31" s="7" t="n">
        <v>1</v>
      </c>
      <c r="J31" s="3" t="inlineStr">
        <is>
          <t>경국대전 반포</t>
        </is>
      </c>
    </row>
    <row r="32">
      <c r="A32" s="3" t="n">
        <v>31</v>
      </c>
      <c r="B32" s="3" t="inlineStr">
        <is>
          <t>성종 통치 정비</t>
        </is>
      </c>
      <c r="C32" s="3" t="inlineStr">
        <is>
          <t>wia_11501027_001</t>
        </is>
      </c>
      <c r="D32" s="3" t="inlineStr">
        <is>
          <t>成宗實錄</t>
        </is>
      </c>
      <c r="E32" s="3" t="inlineStr">
        <is>
          <t>1484-01-27</t>
        </is>
      </c>
      <c r="F32" s="3" t="inlineStr">
        <is>
          <t>직전·사사전·공신전 등에 대한 조세를 논의하다</t>
        </is>
      </c>
      <c r="G32" s="7" t="n">
        <v>367</v>
      </c>
      <c r="H32" s="7" t="n">
        <v>700</v>
      </c>
      <c r="I32" s="7" t="n">
        <v>4</v>
      </c>
      <c r="J32" s="3" t="inlineStr">
        <is>
          <t>직전세 논의(관수관급 배경)</t>
        </is>
      </c>
    </row>
    <row r="33">
      <c r="A33" s="3" t="n">
        <v>32</v>
      </c>
      <c r="B33" s="3" t="inlineStr">
        <is>
          <t>사화·사림</t>
        </is>
      </c>
      <c r="C33" s="3" t="inlineStr">
        <is>
          <t>wja_10407017_002</t>
        </is>
      </c>
      <c r="D33" s="3" t="inlineStr">
        <is>
          <t>燕山君日記</t>
        </is>
      </c>
      <c r="E33" s="3" t="inlineStr">
        <is>
          <t>1498-07-17</t>
        </is>
      </c>
      <c r="F33" s="3" t="inlineStr">
        <is>
          <t>김일손의 사초에 실린 김종직의 조의제문에 대한 왕의 전교와 신하들의 논의</t>
        </is>
      </c>
      <c r="G33" s="7" t="n">
        <v>1745</v>
      </c>
      <c r="H33" s="7" t="n">
        <v>3603</v>
      </c>
      <c r="I33" s="7" t="n">
        <v>12</v>
      </c>
      <c r="J33" s="3" t="inlineStr">
        <is>
          <t>조의제문(무오사화)</t>
        </is>
      </c>
    </row>
    <row r="34">
      <c r="A34" s="3" t="n">
        <v>33</v>
      </c>
      <c r="B34" s="3" t="inlineStr">
        <is>
          <t>사화·사림</t>
        </is>
      </c>
      <c r="C34" s="3" t="inlineStr">
        <is>
          <t>wja_11003011_003</t>
        </is>
      </c>
      <c r="D34" s="3" t="inlineStr">
        <is>
          <t>燕山君日記</t>
        </is>
      </c>
      <c r="E34" s="3" t="inlineStr">
        <is>
          <t>1504-03-11</t>
        </is>
      </c>
      <c r="F34" s="3" t="inlineStr">
        <is>
          <t>홍귀달과 이세좌의 죄를 논하다</t>
        </is>
      </c>
      <c r="G34" s="7" t="n">
        <v>1620</v>
      </c>
      <c r="H34" s="7" t="n">
        <v>3015</v>
      </c>
      <c r="I34" s="7" t="n">
        <v>16</v>
      </c>
      <c r="J34" s="3" t="inlineStr">
        <is>
          <t>갑자사화</t>
        </is>
      </c>
    </row>
    <row r="35">
      <c r="A35" s="3" t="n">
        <v>34</v>
      </c>
      <c r="B35" s="3" t="inlineStr">
        <is>
          <t>사화·사림</t>
        </is>
      </c>
      <c r="C35" s="3" t="inlineStr">
        <is>
          <t>wja_11209002_001</t>
        </is>
      </c>
      <c r="D35" s="3" t="inlineStr">
        <is>
          <t>燕山君日記</t>
        </is>
      </c>
      <c r="E35" s="3" t="inlineStr">
        <is>
          <t>1506-09-02</t>
        </is>
      </c>
      <c r="F35" s="3" t="inlineStr">
        <is>
          <t>중종이 경복궁에서 즉위하고 연산군을 폐하여 교동현에 옮기다</t>
        </is>
      </c>
      <c r="G35" s="7" t="n">
        <v>4473</v>
      </c>
      <c r="H35" s="7" t="n">
        <v>8939</v>
      </c>
      <c r="I35" s="7" t="n">
        <v>19</v>
      </c>
      <c r="J35" s="3" t="inlineStr">
        <is>
          <t>중종반정·연산군 폐위</t>
        </is>
      </c>
    </row>
    <row r="36">
      <c r="A36" s="3" t="n">
        <v>35</v>
      </c>
      <c r="B36" s="3" t="inlineStr">
        <is>
          <t>사화·사림</t>
        </is>
      </c>
      <c r="C36" s="3" t="inlineStr">
        <is>
          <t>wka_11303025_001</t>
        </is>
      </c>
      <c r="D36" s="3" t="inlineStr">
        <is>
          <t>中宗實錄</t>
        </is>
      </c>
      <c r="E36" s="3" t="inlineStr">
        <is>
          <t>1518-03-25</t>
        </is>
      </c>
      <c r="F36" s="3" t="inlineStr">
        <is>
          <t>조광조가 사습이 무너짐과 천거과로 인재를 등용해야 함을 아뢰다</t>
        </is>
      </c>
      <c r="G36" s="7" t="n">
        <v>1461</v>
      </c>
      <c r="H36" s="7" t="n">
        <v>2668</v>
      </c>
      <c r="I36" s="7" t="n">
        <v>7</v>
      </c>
      <c r="J36" s="3" t="inlineStr">
        <is>
          <t>조광조의 천거과(현량과) 건의</t>
        </is>
      </c>
    </row>
    <row r="37">
      <c r="A37" s="3" t="n">
        <v>36</v>
      </c>
      <c r="B37" s="3" t="inlineStr">
        <is>
          <t>사화·사림</t>
        </is>
      </c>
      <c r="C37" s="3" t="inlineStr">
        <is>
          <t>wka_11410025_002</t>
        </is>
      </c>
      <c r="D37" s="3" t="inlineStr">
        <is>
          <t>中宗實錄</t>
        </is>
      </c>
      <c r="E37" s="3" t="inlineStr">
        <is>
          <t>1519-10-25</t>
        </is>
      </c>
      <c r="F37" s="3" t="inlineStr">
        <is>
          <t>대사헌 조광조·대사간 이성동이 합사로 정국 공신에 대해 아뢰다</t>
        </is>
      </c>
      <c r="G37" s="7" t="n">
        <v>1377</v>
      </c>
      <c r="H37" s="7" t="n">
        <v>2574</v>
      </c>
      <c r="I37" s="7" t="n">
        <v>15</v>
      </c>
      <c r="J37" s="3" t="inlineStr">
        <is>
          <t>위훈 삭제 요구</t>
        </is>
      </c>
    </row>
    <row r="38">
      <c r="A38" s="3" t="n">
        <v>37</v>
      </c>
      <c r="B38" s="3" t="inlineStr">
        <is>
          <t>사화·사림</t>
        </is>
      </c>
      <c r="C38" s="3" t="inlineStr">
        <is>
          <t>wka_11411015_003</t>
        </is>
      </c>
      <c r="D38" s="3" t="inlineStr">
        <is>
          <t>中宗實錄</t>
        </is>
      </c>
      <c r="E38" s="3" t="inlineStr">
        <is>
          <t>1519-11-15</t>
        </is>
      </c>
      <c r="F38" s="3" t="inlineStr">
        <is>
          <t>직숙하던 윤자임 등이 하옥되고 이자·김정·조광조 등을 잡아 가두게 하다</t>
        </is>
      </c>
      <c r="G38" s="7" t="n">
        <v>545</v>
      </c>
      <c r="H38" s="7" t="n">
        <v>1029</v>
      </c>
      <c r="I38" s="7" t="n">
        <v>5</v>
      </c>
      <c r="J38" s="3" t="inlineStr">
        <is>
          <t>기묘사화</t>
        </is>
      </c>
    </row>
    <row r="39">
      <c r="A39" s="3" t="n">
        <v>38</v>
      </c>
      <c r="B39" s="3" t="inlineStr">
        <is>
          <t>사화·사림</t>
        </is>
      </c>
      <c r="C39" s="3" t="inlineStr">
        <is>
          <t>wma_10008022_001</t>
        </is>
      </c>
      <c r="D39" s="3" t="inlineStr">
        <is>
          <t>明宗實錄</t>
        </is>
      </c>
      <c r="E39" s="3" t="inlineStr">
        <is>
          <t>1545-08-22</t>
        </is>
      </c>
      <c r="F39" s="3" t="inlineStr">
        <is>
          <t>왕대비가 이언적 등과 윤임·유관·유인숙의 일을 논하고 죄를 정하다</t>
        </is>
      </c>
      <c r="G39" s="7" t="n">
        <v>7487</v>
      </c>
      <c r="H39" s="7" t="n">
        <v>13615</v>
      </c>
      <c r="I39" s="7" t="n">
        <v>56</v>
      </c>
      <c r="J39" s="3" t="inlineStr">
        <is>
          <t>을사사화(윤임 일파)</t>
        </is>
      </c>
    </row>
    <row r="40">
      <c r="A40" s="3" t="n">
        <v>39</v>
      </c>
      <c r="B40" s="3" t="inlineStr">
        <is>
          <t>사화·사림</t>
        </is>
      </c>
      <c r="C40" s="3" t="inlineStr">
        <is>
          <t>wma_10209018_003</t>
        </is>
      </c>
      <c r="D40" s="3" t="inlineStr">
        <is>
          <t>明宗實錄</t>
        </is>
      </c>
      <c r="E40" s="3" t="inlineStr">
        <is>
          <t>1547-09-18</t>
        </is>
      </c>
      <c r="F40" s="3" t="inlineStr">
        <is>
          <t>부제학 정언각이 양재역 벽에 붙은 익명서를 가져와 관련자의 처벌을 논의하다</t>
        </is>
      </c>
      <c r="G40" s="7" t="n">
        <v>1511</v>
      </c>
      <c r="H40" s="7" t="n">
        <v>2692</v>
      </c>
      <c r="I40" s="7" t="n">
        <v>14</v>
      </c>
      <c r="J40" s="3" t="inlineStr">
        <is>
          <t>양재역 벽서 사건</t>
        </is>
      </c>
    </row>
    <row r="41">
      <c r="A41" s="3" t="n">
        <v>40</v>
      </c>
      <c r="B41" s="3" t="inlineStr">
        <is>
          <t>사화·사림</t>
        </is>
      </c>
      <c r="C41" s="3" t="inlineStr">
        <is>
          <t>wma_10502011_002</t>
        </is>
      </c>
      <c r="D41" s="3" t="inlineStr">
        <is>
          <t>明宗實錄</t>
        </is>
      </c>
      <c r="E41" s="3" t="inlineStr">
        <is>
          <t>1550-02-11</t>
        </is>
      </c>
      <c r="F41" s="3" t="inlineStr">
        <is>
          <t>이기 등이 풍기의 백운동 서원에 편액과 책을 내려 보낼 것을 아뢰다</t>
        </is>
      </c>
      <c r="G41" s="7" t="n">
        <v>331</v>
      </c>
      <c r="H41" s="7" t="n">
        <v>582</v>
      </c>
      <c r="I41" s="7" t="n">
        <v>1</v>
      </c>
      <c r="J41" s="3" t="inlineStr">
        <is>
          <t>백운동 서원 사액</t>
        </is>
      </c>
    </row>
    <row r="42">
      <c r="A42" s="3" t="n">
        <v>41</v>
      </c>
      <c r="B42" s="3" t="inlineStr">
        <is>
          <t>임진왜란</t>
        </is>
      </c>
      <c r="C42" s="3" t="inlineStr">
        <is>
          <t>wnb_12504014_001</t>
        </is>
      </c>
      <c r="D42" s="3" t="inlineStr">
        <is>
          <t>宣祖修正實錄</t>
        </is>
      </c>
      <c r="E42" s="3" t="inlineStr">
        <is>
          <t>1592-04-14</t>
        </is>
      </c>
      <c r="F42" s="3" t="inlineStr">
        <is>
          <t>14일 왜적이 군사를 일으켜 부산진을 함락시켜 부사 정발과 송상현이 전사하다</t>
        </is>
      </c>
      <c r="G42" s="7" t="n">
        <v>718</v>
      </c>
      <c r="H42" s="7" t="n">
        <v>1527</v>
      </c>
      <c r="I42" s="7" t="n">
        <v>6</v>
      </c>
      <c r="J42" s="3" t="inlineStr">
        <is>
          <t>부산진 함락·송상현 전사</t>
        </is>
      </c>
    </row>
    <row r="43">
      <c r="A43" s="3" t="n">
        <v>42</v>
      </c>
      <c r="B43" s="3" t="inlineStr">
        <is>
          <t>임진왜란</t>
        </is>
      </c>
      <c r="C43" s="3" t="inlineStr">
        <is>
          <t>wna_12506021_004</t>
        </is>
      </c>
      <c r="D43" s="3" t="inlineStr">
        <is>
          <t>宣祖實錄</t>
        </is>
      </c>
      <c r="E43" s="3" t="inlineStr">
        <is>
          <t>1592-06-21</t>
        </is>
      </c>
      <c r="F43" s="3" t="inlineStr">
        <is>
          <t>원균과 이순신이 한산도·당포에서 승전한 일에 대한 기록</t>
        </is>
      </c>
      <c r="G43" s="7" t="n">
        <v>1083</v>
      </c>
      <c r="H43" s="7" t="n">
        <v>1990</v>
      </c>
      <c r="I43" s="7" t="n">
        <v>8</v>
      </c>
      <c r="J43" s="3" t="inlineStr">
        <is>
          <t>한산도·당포 승전</t>
        </is>
      </c>
    </row>
    <row r="44">
      <c r="A44" s="3" t="n">
        <v>43</v>
      </c>
      <c r="B44" s="3" t="inlineStr">
        <is>
          <t>임진왜란</t>
        </is>
      </c>
      <c r="C44" s="3" t="inlineStr">
        <is>
          <t>wna_12510006_005</t>
        </is>
      </c>
      <c r="D44" s="3" t="inlineStr">
        <is>
          <t>宣祖實錄</t>
        </is>
      </c>
      <c r="E44" s="3" t="inlineStr">
        <is>
          <t>1592-10-06</t>
        </is>
      </c>
      <c r="F44" s="3" t="inlineStr">
        <is>
          <t>비변사가 왜장을 사로잡은 진주 목사 김시민에게 중상을 내리라고 청하다</t>
        </is>
      </c>
      <c r="G44" s="7" t="n">
        <v>87</v>
      </c>
      <c r="H44" s="7" t="n">
        <v>166</v>
      </c>
      <c r="I44" s="7" t="n">
        <v>1</v>
      </c>
      <c r="J44" s="3" t="inlineStr">
        <is>
          <t>진주 목사 김시민</t>
        </is>
      </c>
    </row>
    <row r="45">
      <c r="A45" s="3" t="n">
        <v>44</v>
      </c>
      <c r="B45" s="3" t="inlineStr">
        <is>
          <t>임진왜란</t>
        </is>
      </c>
      <c r="C45" s="3" t="inlineStr">
        <is>
          <t>wna_12601010_009</t>
        </is>
      </c>
      <c r="D45" s="3" t="inlineStr">
        <is>
          <t>宣祖實錄</t>
        </is>
      </c>
      <c r="E45" s="3" t="inlineStr">
        <is>
          <t>1593-01-10</t>
        </is>
      </c>
      <c r="F45" s="3" t="inlineStr">
        <is>
          <t>이 제독이 왕진을 보내 평양을 수복하였음을 전하다</t>
        </is>
      </c>
      <c r="G45" s="7" t="n">
        <v>166</v>
      </c>
      <c r="H45" s="7" t="n">
        <v>340</v>
      </c>
      <c r="I45" s="7" t="n">
        <v>3</v>
      </c>
      <c r="J45" s="3" t="inlineStr">
        <is>
          <t>평양 수복</t>
        </is>
      </c>
    </row>
    <row r="46">
      <c r="A46" s="3" t="n">
        <v>45</v>
      </c>
      <c r="B46" s="3" t="inlineStr">
        <is>
          <t>임진왜란</t>
        </is>
      </c>
      <c r="C46" s="3" t="inlineStr">
        <is>
          <t>wna_12602024_001</t>
        </is>
      </c>
      <c r="D46" s="3" t="inlineStr">
        <is>
          <t>宣祖實錄</t>
        </is>
      </c>
      <c r="E46" s="3" t="inlineStr">
        <is>
          <t>1593-02-24</t>
        </is>
      </c>
      <c r="F46" s="3" t="inlineStr">
        <is>
          <t>신경희가 권율의 행주 산성 대첩을 보고하자 인견하고 전투 상황을 상세히 묻다</t>
        </is>
      </c>
      <c r="G46" s="7" t="n">
        <v>1668</v>
      </c>
      <c r="H46" s="7" t="n">
        <v>3355</v>
      </c>
      <c r="I46" s="7" t="n">
        <v>21</v>
      </c>
      <c r="J46" s="3" t="inlineStr">
        <is>
          <t>행주 대첩</t>
        </is>
      </c>
    </row>
    <row r="47">
      <c r="A47" s="3" t="n">
        <v>46</v>
      </c>
      <c r="B47" s="3" t="inlineStr">
        <is>
          <t>임진왜란</t>
        </is>
      </c>
      <c r="C47" s="3" t="inlineStr">
        <is>
          <t>wna_12608019_005</t>
        </is>
      </c>
      <c r="D47" s="3" t="inlineStr">
        <is>
          <t>宣祖實錄</t>
        </is>
      </c>
      <c r="E47" s="3" t="inlineStr">
        <is>
          <t>1593-08-19</t>
        </is>
      </c>
      <c r="F47" s="3" t="inlineStr">
        <is>
          <t>훈련 도감 설치에 대해 의논하라 전교하다</t>
        </is>
      </c>
      <c r="G47" s="7" t="n">
        <v>144</v>
      </c>
      <c r="H47" s="7" t="n">
        <v>274</v>
      </c>
      <c r="I47" s="7" t="n">
        <v>1</v>
      </c>
      <c r="J47" s="3" t="inlineStr">
        <is>
          <t>훈련도감 설치 논의</t>
        </is>
      </c>
    </row>
    <row r="48">
      <c r="A48" s="3" t="n">
        <v>47</v>
      </c>
      <c r="B48" s="3" t="inlineStr">
        <is>
          <t>대동법·수취 제도</t>
        </is>
      </c>
      <c r="C48" s="3" t="inlineStr">
        <is>
          <t>woa_10005007_002</t>
        </is>
      </c>
      <c r="D48" s="3" t="inlineStr">
        <is>
          <t>光海君日記</t>
        </is>
      </c>
      <c r="E48" s="3" t="inlineStr">
        <is>
          <t>1608-05-07</t>
        </is>
      </c>
      <c r="F48" s="3" t="inlineStr">
        <is>
          <t>선혜청을 설치하다</t>
        </is>
      </c>
      <c r="G48" s="7" t="n">
        <v>282</v>
      </c>
      <c r="H48" s="7" t="n">
        <v>520</v>
      </c>
      <c r="I48" s="7" t="n">
        <v>3</v>
      </c>
      <c r="J48" s="3" t="inlineStr">
        <is>
          <t>선혜청 설치(대동법 시작)</t>
        </is>
      </c>
    </row>
    <row r="49">
      <c r="A49" s="3" t="n">
        <v>48</v>
      </c>
      <c r="B49" s="3" t="inlineStr">
        <is>
          <t>대동법·수취 제도</t>
        </is>
      </c>
      <c r="C49" s="3" t="inlineStr">
        <is>
          <t>wqa_10011005_004</t>
        </is>
      </c>
      <c r="D49" s="3" t="inlineStr">
        <is>
          <t>孝宗實錄</t>
        </is>
      </c>
      <c r="E49" s="3" t="inlineStr">
        <is>
          <t>1649-11-05</t>
        </is>
      </c>
      <c r="F49" s="3" t="inlineStr">
        <is>
          <t>우의정 김육이 호서·남 지방의 대동법 시행을 건의하여 대신과 의논하다</t>
        </is>
      </c>
      <c r="G49" s="7" t="n">
        <v>1172</v>
      </c>
      <c r="H49" s="7" t="n">
        <v>2182</v>
      </c>
      <c r="I49" s="7" t="n">
        <v>6</v>
      </c>
      <c r="J49" s="3" t="inlineStr">
        <is>
          <t>김육의 호서 대동법 건의</t>
        </is>
      </c>
    </row>
    <row r="50">
      <c r="A50" s="3" t="n">
        <v>49</v>
      </c>
      <c r="B50" s="3" t="inlineStr">
        <is>
          <t>호란·북벌</t>
        </is>
      </c>
      <c r="C50" s="3" t="inlineStr">
        <is>
          <t>woa_11104008_005</t>
        </is>
      </c>
      <c r="D50" s="3" t="inlineStr">
        <is>
          <t>光海君日記</t>
        </is>
      </c>
      <c r="E50" s="3" t="inlineStr">
        <is>
          <t>1619-04-08</t>
        </is>
      </c>
      <c r="F50" s="3" t="inlineStr">
        <is>
          <t>비국이 명 차관에게 강홍립 등의 투항 사정 보고를 청하나 불윤하다</t>
        </is>
      </c>
      <c r="G50" s="7" t="n">
        <v>207</v>
      </c>
      <c r="H50" s="7" t="n">
        <v>375</v>
      </c>
      <c r="I50" s="7" t="n">
        <v>2</v>
      </c>
      <c r="J50" s="3" t="inlineStr">
        <is>
          <t>강홍립 투항(사르후 전투 뒤)</t>
        </is>
      </c>
    </row>
    <row r="51">
      <c r="A51" s="3" t="n">
        <v>50</v>
      </c>
      <c r="B51" s="3" t="inlineStr">
        <is>
          <t>호란·북벌</t>
        </is>
      </c>
      <c r="C51" s="3" t="inlineStr">
        <is>
          <t>wpa_10501017_001</t>
        </is>
      </c>
      <c r="D51" s="3" t="inlineStr">
        <is>
          <t>仁祖實錄</t>
        </is>
      </c>
      <c r="E51" s="3" t="inlineStr">
        <is>
          <t>1627-01-17</t>
        </is>
      </c>
      <c r="F51" s="3" t="inlineStr">
        <is>
          <t>금나라가 침입하자 대책을 논의하다</t>
        </is>
      </c>
      <c r="G51" s="7" t="n">
        <v>1775</v>
      </c>
      <c r="H51" s="7" t="n">
        <v>3596</v>
      </c>
      <c r="I51" s="7" t="n">
        <v>22</v>
      </c>
      <c r="J51" s="3" t="inlineStr">
        <is>
          <t>정묘호란 대책</t>
        </is>
      </c>
    </row>
    <row r="52">
      <c r="A52" s="3" t="n">
        <v>51</v>
      </c>
      <c r="B52" s="3" t="inlineStr">
        <is>
          <t>호란·북벌</t>
        </is>
      </c>
      <c r="C52" s="3" t="inlineStr">
        <is>
          <t>wpa_11412014_003</t>
        </is>
      </c>
      <c r="D52" s="3" t="inlineStr">
        <is>
          <t>仁祖實錄</t>
        </is>
      </c>
      <c r="E52" s="3" t="inlineStr">
        <is>
          <t>1636-12-14</t>
        </is>
      </c>
      <c r="F52" s="3" t="inlineStr">
        <is>
          <t>최명길에게 강화를 청하게 하고 상은 남한 산성에 도착, 강도로 가기로 결정하다</t>
        </is>
      </c>
      <c r="G52" s="7" t="n">
        <v>406</v>
      </c>
      <c r="H52" s="7" t="n">
        <v>764</v>
      </c>
      <c r="I52" s="7" t="n">
        <v>3</v>
      </c>
      <c r="J52" s="3" t="inlineStr">
        <is>
          <t>남한산성으로 피란(병자호란)</t>
        </is>
      </c>
    </row>
    <row r="53">
      <c r="A53" s="3" t="n">
        <v>52</v>
      </c>
      <c r="B53" s="3" t="inlineStr">
        <is>
          <t>호란·북벌</t>
        </is>
      </c>
      <c r="C53" s="3" t="inlineStr">
        <is>
          <t>wpa_11501030_002</t>
        </is>
      </c>
      <c r="D53" s="3" t="inlineStr">
        <is>
          <t>仁祖實錄</t>
        </is>
      </c>
      <c r="E53" s="3" t="inlineStr">
        <is>
          <t>1637-01-30</t>
        </is>
      </c>
      <c r="F53" s="3" t="inlineStr">
        <is>
          <t>삼전도에서 삼배구고두례를 행하다. 서울 창경궁으로 나아가다</t>
        </is>
      </c>
      <c r="G53" s="7" t="n">
        <v>1276</v>
      </c>
      <c r="H53" s="7" t="n">
        <v>2362</v>
      </c>
      <c r="I53" s="7" t="n">
        <v>14</v>
      </c>
      <c r="J53" s="3" t="inlineStr">
        <is>
          <t>삼전도 항복</t>
        </is>
      </c>
    </row>
    <row r="54">
      <c r="A54" s="3" t="n">
        <v>53</v>
      </c>
      <c r="B54" s="3" t="inlineStr">
        <is>
          <t>호란·북벌</t>
        </is>
      </c>
      <c r="C54" s="3" t="inlineStr">
        <is>
          <t>wqa_10208004_003</t>
        </is>
      </c>
      <c r="D54" s="3" t="inlineStr">
        <is>
          <t>孝宗實錄</t>
        </is>
      </c>
      <c r="E54" s="3" t="inlineStr">
        <is>
          <t>1651-08-04</t>
        </is>
      </c>
      <c r="F54" s="3" t="inlineStr">
        <is>
          <t>이완을 특별히 서용하여 어영 대장에 임명하다</t>
        </is>
      </c>
      <c r="G54" s="7" t="n">
        <v>13</v>
      </c>
      <c r="H54" s="7" t="n">
        <v>33</v>
      </c>
      <c r="I54" s="7" t="n">
        <v>1</v>
      </c>
      <c r="J54" s="3" t="inlineStr">
        <is>
          <t>이완 어영대장 임명(북벌)</t>
        </is>
      </c>
    </row>
    <row r="55">
      <c r="A55" s="3" t="n">
        <v>54</v>
      </c>
      <c r="B55" s="3" t="inlineStr">
        <is>
          <t>호란·북벌</t>
        </is>
      </c>
      <c r="C55" s="3" t="inlineStr">
        <is>
          <t>wqa_10507002_005</t>
        </is>
      </c>
      <c r="D55" s="3" t="inlineStr">
        <is>
          <t>孝宗實錄</t>
        </is>
      </c>
      <c r="E55" s="3" t="inlineStr">
        <is>
          <t>1654-07-02</t>
        </is>
      </c>
      <c r="F55" s="3" t="inlineStr">
        <is>
          <t>북우후의 변급이 러시아를 격파하고 영고탑으로 귀환하다</t>
        </is>
      </c>
      <c r="G55" s="7" t="n">
        <v>23</v>
      </c>
      <c r="H55" s="7" t="n">
        <v>63</v>
      </c>
      <c r="I55" s="7" t="n">
        <v>1</v>
      </c>
      <c r="J55" s="3" t="inlineStr">
        <is>
          <t>나선 정벌</t>
        </is>
      </c>
    </row>
    <row r="56">
      <c r="A56" s="3" t="n">
        <v>55</v>
      </c>
      <c r="B56" s="3" t="inlineStr">
        <is>
          <t>붕당·예송·환국</t>
        </is>
      </c>
      <c r="C56" s="3" t="inlineStr">
        <is>
          <t>wra_10005005_003</t>
        </is>
      </c>
      <c r="D56" s="3" t="inlineStr">
        <is>
          <t>顯宗實錄</t>
        </is>
      </c>
      <c r="E56" s="3" t="inlineStr">
        <is>
          <t>1659-05-05</t>
        </is>
      </c>
      <c r="F56" s="3" t="inlineStr">
        <is>
          <t>예조가 복제에 관해 주달하다</t>
        </is>
      </c>
      <c r="G56" s="7" t="n">
        <v>656</v>
      </c>
      <c r="H56" s="7" t="n">
        <v>1217</v>
      </c>
      <c r="I56" s="7" t="n">
        <v>6</v>
      </c>
      <c r="J56" s="3" t="inlineStr">
        <is>
          <t>기해예송(복제 논쟁)</t>
        </is>
      </c>
    </row>
    <row r="57">
      <c r="A57" s="3" t="n">
        <v>56</v>
      </c>
      <c r="B57" s="3" t="inlineStr">
        <is>
          <t>붕당·예송·환국</t>
        </is>
      </c>
      <c r="C57" s="3" t="inlineStr">
        <is>
          <t>wsa_10604010_001</t>
        </is>
      </c>
      <c r="D57" s="3" t="inlineStr">
        <is>
          <t>肅宗實錄</t>
        </is>
      </c>
      <c r="E57" s="3" t="inlineStr">
        <is>
          <t>1680-04-10</t>
        </is>
      </c>
      <c r="F57" s="3" t="inlineStr">
        <is>
          <t>허적이 아들의 역모 사건과 관련하여 그 죄를 논하다</t>
        </is>
      </c>
      <c r="G57" s="7" t="n">
        <v>938</v>
      </c>
      <c r="H57" s="7" t="n">
        <v>1741</v>
      </c>
      <c r="I57" s="7" t="n">
        <v>5</v>
      </c>
      <c r="J57" s="3" t="inlineStr">
        <is>
          <t>경신환국(허적)</t>
        </is>
      </c>
    </row>
    <row r="58">
      <c r="A58" s="3" t="n">
        <v>57</v>
      </c>
      <c r="B58" s="3" t="inlineStr">
        <is>
          <t>붕당·예송·환국</t>
        </is>
      </c>
      <c r="C58" s="3" t="inlineStr">
        <is>
          <t>wsa_11502001_001</t>
        </is>
      </c>
      <c r="D58" s="3" t="inlineStr">
        <is>
          <t>肅宗實錄</t>
        </is>
      </c>
      <c r="E58" s="3" t="inlineStr">
        <is>
          <t>1689-02-01</t>
        </is>
      </c>
      <c r="F58" s="3" t="inlineStr">
        <is>
          <t>봉조하 송시열이 올린 원자에 관한 2본의 상소를 올리매 정죄를 명하다</t>
        </is>
      </c>
      <c r="G58" s="7" t="n">
        <v>3675</v>
      </c>
      <c r="H58" s="7" t="n">
        <v>7169</v>
      </c>
      <c r="I58" s="7" t="n">
        <v>27</v>
      </c>
      <c r="J58" s="3" t="inlineStr">
        <is>
          <t>기사환국(송시열 원자 상소)</t>
        </is>
      </c>
    </row>
    <row r="59">
      <c r="A59" s="3" t="n">
        <v>58</v>
      </c>
      <c r="B59" s="3" t="inlineStr">
        <is>
          <t>붕당·예송·환국</t>
        </is>
      </c>
      <c r="C59" s="3" t="inlineStr">
        <is>
          <t>wsa_12004012_006</t>
        </is>
      </c>
      <c r="D59" s="3" t="inlineStr">
        <is>
          <t>肅宗實錄</t>
        </is>
      </c>
      <c r="E59" s="3" t="inlineStr">
        <is>
          <t>1694-04-12</t>
        </is>
      </c>
      <c r="F59" s="3" t="inlineStr">
        <is>
          <t>장씨의 왕후 새수를 거두고 희빈의 옛 작호를 내려 주게 하다</t>
        </is>
      </c>
      <c r="G59" s="7" t="n">
        <v>312</v>
      </c>
      <c r="H59" s="7" t="n">
        <v>570</v>
      </c>
      <c r="I59" s="7" t="n">
        <v>4</v>
      </c>
      <c r="J59" s="3" t="inlineStr">
        <is>
          <t>갑술환국(장씨를 희빈으로)</t>
        </is>
      </c>
    </row>
    <row r="60">
      <c r="A60" s="3" t="n">
        <v>59</v>
      </c>
      <c r="B60" s="3" t="inlineStr">
        <is>
          <t>통치 기구·지방·군사</t>
        </is>
      </c>
      <c r="C60" s="3" t="inlineStr">
        <is>
          <t>wca_10501015_001</t>
        </is>
      </c>
      <c r="D60" s="3" t="inlineStr">
        <is>
          <t>太宗實錄</t>
        </is>
      </c>
      <c r="E60" s="3" t="inlineStr">
        <is>
          <t>1405-01-15</t>
        </is>
      </c>
      <c r="F60" s="3" t="inlineStr">
        <is>
          <t>의정부·육조·승정원 등의 관제를 개정하다</t>
        </is>
      </c>
      <c r="G60" s="7" t="n">
        <v>323</v>
      </c>
      <c r="H60" s="7" t="n">
        <v>569</v>
      </c>
      <c r="I60" s="7" t="n">
        <v>4</v>
      </c>
      <c r="J60" s="3" t="inlineStr">
        <is>
          <t>의정부·육조·승정원 관제 개정</t>
        </is>
      </c>
    </row>
    <row r="61">
      <c r="A61" s="3" t="n">
        <v>60</v>
      </c>
      <c r="B61" s="3" t="inlineStr">
        <is>
          <t>통치 기구·지방·군사</t>
        </is>
      </c>
      <c r="C61" s="3" t="inlineStr">
        <is>
          <t>wka_11206027_005</t>
        </is>
      </c>
      <c r="D61" s="3" t="inlineStr">
        <is>
          <t>中宗實錄</t>
        </is>
      </c>
      <c r="E61" s="3" t="inlineStr">
        <is>
          <t>1517-06-27</t>
        </is>
      </c>
      <c r="F61" s="3" t="inlineStr">
        <is>
          <t>축성사를 고쳐 비변사라 하다</t>
        </is>
      </c>
      <c r="G61" s="7" t="n">
        <v>11</v>
      </c>
      <c r="H61" s="7" t="n">
        <v>24</v>
      </c>
      <c r="I61" s="7" t="n">
        <v>1</v>
      </c>
      <c r="J61" s="3" t="inlineStr">
        <is>
          <t>비변사 설치</t>
        </is>
      </c>
    </row>
    <row r="62">
      <c r="A62" s="3" t="n">
        <v>61</v>
      </c>
      <c r="B62" s="3" t="inlineStr">
        <is>
          <t>통치 기구·지방·군사</t>
        </is>
      </c>
      <c r="C62" s="3" t="inlineStr">
        <is>
          <t>wia_11302002_006</t>
        </is>
      </c>
      <c r="D62" s="3" t="inlineStr">
        <is>
          <t>成宗實錄</t>
        </is>
      </c>
      <c r="E62" s="3" t="inlineStr">
        <is>
          <t>1482-02-02</t>
        </is>
      </c>
      <c r="F62" s="3" t="inlineStr">
        <is>
          <t>이조에서 유향소 설립의 절목을 아뢰자 윤허하다</t>
        </is>
      </c>
      <c r="G62" s="7" t="n">
        <v>185</v>
      </c>
      <c r="H62" s="7" t="n">
        <v>365</v>
      </c>
      <c r="I62" s="7" t="n">
        <v>1</v>
      </c>
      <c r="J62" s="3" t="inlineStr">
        <is>
          <t>유향소 복립 절목</t>
        </is>
      </c>
    </row>
    <row r="63">
      <c r="A63" s="3" t="n">
        <v>62</v>
      </c>
      <c r="B63" s="3" t="inlineStr">
        <is>
          <t>통치 기구·지방·군사</t>
        </is>
      </c>
      <c r="C63" s="3" t="inlineStr">
        <is>
          <t>wsa_11107023_001</t>
        </is>
      </c>
      <c r="D63" s="3" t="inlineStr">
        <is>
          <t>肅宗實錄</t>
        </is>
      </c>
      <c r="E63" s="3" t="inlineStr">
        <is>
          <t>1685-07-23</t>
        </is>
      </c>
      <c r="F63" s="3" t="inlineStr">
        <is>
          <t>금위영의 설치와 전일 죄수 소결 문제을 의논하다</t>
        </is>
      </c>
      <c r="G63" s="7" t="n">
        <v>334</v>
      </c>
      <c r="H63" s="7" t="n">
        <v>657</v>
      </c>
      <c r="I63" s="7" t="n">
        <v>5</v>
      </c>
      <c r="J63" s="3" t="inlineStr">
        <is>
          <t>금위영 설치</t>
        </is>
      </c>
    </row>
    <row r="64">
      <c r="A64" s="3" t="n">
        <v>63</v>
      </c>
      <c r="B64" s="3" t="inlineStr">
        <is>
          <t>대외관계</t>
        </is>
      </c>
      <c r="C64" s="3" t="inlineStr">
        <is>
          <t>wia_10511015_002</t>
        </is>
      </c>
      <c r="D64" s="3" t="inlineStr">
        <is>
          <t>成宗實錄</t>
        </is>
      </c>
      <c r="E64" s="3" t="inlineStr">
        <is>
          <t>1474-11-15</t>
        </is>
      </c>
      <c r="F64" s="3" t="inlineStr">
        <is>
          <t>신숙주가 특송왜로부터 들은 말과 일본국의 사정을 아뢰다</t>
        </is>
      </c>
      <c r="G64" s="7" t="n">
        <v>183</v>
      </c>
      <c r="H64" s="7" t="n">
        <v>401</v>
      </c>
      <c r="I64" s="7" t="n">
        <v>3</v>
      </c>
      <c r="J64" s="3" t="inlineStr">
        <is>
          <t>신숙주가 아뢴 일본 사정</t>
        </is>
      </c>
    </row>
    <row r="65">
      <c r="A65" s="3" t="n">
        <v>64</v>
      </c>
      <c r="B65" s="3" t="inlineStr">
        <is>
          <t>대외관계</t>
        </is>
      </c>
      <c r="C65" s="3" t="inlineStr">
        <is>
          <t>wua_12304009_001</t>
        </is>
      </c>
      <c r="D65" s="3" t="inlineStr">
        <is>
          <t>英祖實錄</t>
        </is>
      </c>
      <c r="E65" s="3" t="inlineStr">
        <is>
          <t>1747-04-09</t>
        </is>
      </c>
      <c r="F65" s="3" t="inlineStr">
        <is>
          <t>대신과 통신사를 인견하여 통신사가 가지고 가는 예단에 관해 말하다</t>
        </is>
      </c>
      <c r="G65" s="7" t="n">
        <v>221</v>
      </c>
      <c r="H65" s="7" t="n">
        <v>431</v>
      </c>
      <c r="I65" s="7" t="n">
        <v>4</v>
      </c>
      <c r="J65" s="3" t="inlineStr">
        <is>
          <t>통신사 파견</t>
        </is>
      </c>
    </row>
    <row r="66">
      <c r="A66" s="3" t="n">
        <v>65</v>
      </c>
      <c r="B66" s="3" t="inlineStr">
        <is>
          <t>대외관계</t>
        </is>
      </c>
      <c r="C66" s="3" t="inlineStr">
        <is>
          <t>wsa_13802026_002</t>
        </is>
      </c>
      <c r="D66" s="3" t="inlineStr">
        <is>
          <t>肅宗實錄</t>
        </is>
      </c>
      <c r="E66" s="3" t="inlineStr">
        <is>
          <t>1712-02-26</t>
        </is>
      </c>
      <c r="F66" s="3" t="inlineStr">
        <is>
          <t>청나라 차사 목극등이 백두산을 심사하고자 의주로 나오다</t>
        </is>
      </c>
      <c r="G66" s="7" t="n">
        <v>87</v>
      </c>
      <c r="H66" s="7" t="n">
        <v>159</v>
      </c>
      <c r="I66" s="7" t="n">
        <v>2</v>
      </c>
      <c r="J66" s="3" t="inlineStr">
        <is>
          <t>목극등 백두산 답사(정계비 전)</t>
        </is>
      </c>
    </row>
    <row r="67">
      <c r="A67" s="3" t="n">
        <v>66</v>
      </c>
      <c r="B67" s="3" t="inlineStr">
        <is>
          <t>영조</t>
        </is>
      </c>
      <c r="C67" s="3" t="inlineStr">
        <is>
          <t>wua_10101021_001</t>
        </is>
      </c>
      <c r="D67" s="3" t="inlineStr">
        <is>
          <t>英祖實錄</t>
        </is>
      </c>
      <c r="E67" s="3" t="inlineStr">
        <is>
          <t>1725-01-21</t>
        </is>
      </c>
      <c r="F67" s="3" t="inlineStr">
        <is>
          <t>비망기로 당습을 논박하고 탕평을 논하다</t>
        </is>
      </c>
      <c r="G67" s="7" t="n">
        <v>281</v>
      </c>
      <c r="H67" s="7" t="n">
        <v>557</v>
      </c>
      <c r="I67" s="7" t="n">
        <v>1</v>
      </c>
      <c r="J67" s="3" t="inlineStr">
        <is>
          <t>탕평 교서</t>
        </is>
      </c>
    </row>
    <row r="68">
      <c r="A68" s="3" t="n">
        <v>67</v>
      </c>
      <c r="B68" s="3" t="inlineStr">
        <is>
          <t>영조</t>
        </is>
      </c>
      <c r="C68" s="3" t="inlineStr">
        <is>
          <t>wua_10403015_006</t>
        </is>
      </c>
      <c r="D68" s="3" t="inlineStr">
        <is>
          <t>英祖實錄</t>
        </is>
      </c>
      <c r="E68" s="3" t="inlineStr">
        <is>
          <t>1728-03-15</t>
        </is>
      </c>
      <c r="F68" s="3" t="inlineStr">
        <is>
          <t>이인좌 등 적이 청주성을 함락시키다</t>
        </is>
      </c>
      <c r="G68" s="7" t="n">
        <v>545</v>
      </c>
      <c r="H68" s="7" t="n">
        <v>1126</v>
      </c>
      <c r="I68" s="7" t="n">
        <v>7</v>
      </c>
      <c r="J68" s="3" t="inlineStr">
        <is>
          <t>이인좌의 난</t>
        </is>
      </c>
    </row>
    <row r="69">
      <c r="A69" s="3" t="n">
        <v>68</v>
      </c>
      <c r="B69" s="3" t="inlineStr">
        <is>
          <t>영조</t>
        </is>
      </c>
      <c r="C69" s="3" t="inlineStr">
        <is>
          <t>wua_12607003_001</t>
        </is>
      </c>
      <c r="D69" s="3" t="inlineStr">
        <is>
          <t>英祖實錄</t>
        </is>
      </c>
      <c r="E69" s="3" t="inlineStr">
        <is>
          <t>1750-07-03</t>
        </is>
      </c>
      <c r="F69" s="3" t="inlineStr">
        <is>
          <t>홍화문에 나아가 양역에 대해 하유하고, 유생 등이 의견을 아뢰다.</t>
        </is>
      </c>
      <c r="G69" s="7" t="n">
        <v>1505</v>
      </c>
      <c r="H69" s="7" t="n">
        <v>2993</v>
      </c>
      <c r="I69" s="7" t="n">
        <v>6</v>
      </c>
      <c r="J69" s="3" t="inlineStr">
        <is>
          <t>홍화문 양역 하유(균역법)</t>
        </is>
      </c>
    </row>
    <row r="70">
      <c r="A70" s="3" t="n">
        <v>69</v>
      </c>
      <c r="B70" s="3" t="inlineStr">
        <is>
          <t>영조</t>
        </is>
      </c>
      <c r="C70" s="3" t="inlineStr">
        <is>
          <t>wua_13510015_002</t>
        </is>
      </c>
      <c r="D70" s="3" t="inlineStr">
        <is>
          <t>英祖實錄</t>
        </is>
      </c>
      <c r="E70" s="3" t="inlineStr">
        <is>
          <t>1759-10-15</t>
        </is>
      </c>
      <c r="F70" s="3" t="inlineStr">
        <is>
          <t>명정전 월대에서 준천 당상과 오부 방민을 소견하고 준천에 대해 하교하다</t>
        </is>
      </c>
      <c r="G70" s="7" t="n">
        <v>270</v>
      </c>
      <c r="H70" s="7" t="n">
        <v>542</v>
      </c>
      <c r="I70" s="7" t="n">
        <v>1</v>
      </c>
      <c r="J70" s="3" t="inlineStr">
        <is>
          <t>청계천 준천</t>
        </is>
      </c>
    </row>
    <row r="71">
      <c r="A71" s="3" t="n">
        <v>70</v>
      </c>
      <c r="B71" s="3" t="inlineStr">
        <is>
          <t>영조</t>
        </is>
      </c>
      <c r="C71" s="3" t="inlineStr">
        <is>
          <t>wua_14711023_003</t>
        </is>
      </c>
      <c r="D71" s="3" t="inlineStr">
        <is>
          <t>英祖實錄</t>
        </is>
      </c>
      <c r="E71" s="3" t="inlineStr">
        <is>
          <t>1771-11-23</t>
        </is>
      </c>
      <c r="F71" s="3" t="inlineStr">
        <is>
          <t>고례에 따라 신문고를 다시 설치할 것을 명하다</t>
        </is>
      </c>
      <c r="G71" s="7" t="n">
        <v>116</v>
      </c>
      <c r="H71" s="7" t="n">
        <v>214</v>
      </c>
      <c r="I71" s="7" t="n">
        <v>1</v>
      </c>
      <c r="J71" s="3" t="inlineStr">
        <is>
          <t>신문고 재설치</t>
        </is>
      </c>
    </row>
    <row r="72">
      <c r="A72" s="3" t="n">
        <v>71</v>
      </c>
      <c r="B72" s="3" t="inlineStr">
        <is>
          <t>정조</t>
        </is>
      </c>
      <c r="C72" s="3" t="inlineStr">
        <is>
          <t>wva_10009025_002</t>
        </is>
      </c>
      <c r="D72" s="3" t="inlineStr">
        <is>
          <t>正祖實錄</t>
        </is>
      </c>
      <c r="E72" s="3" t="inlineStr">
        <is>
          <t>1776-09-25</t>
        </is>
      </c>
      <c r="F72" s="3" t="inlineStr">
        <is>
          <t>규장각을 창덕궁 금원의 북쪽에 세우고 제학·직제학·직각·대교 등 관원을 두다</t>
        </is>
      </c>
      <c r="G72" s="7" t="n">
        <v>1436</v>
      </c>
      <c r="H72" s="7" t="n">
        <v>2569</v>
      </c>
      <c r="I72" s="7" t="n">
        <v>11</v>
      </c>
      <c r="J72" s="3" t="inlineStr">
        <is>
          <t>규장각 설치</t>
        </is>
      </c>
    </row>
    <row r="73">
      <c r="A73" s="3" t="n">
        <v>72</v>
      </c>
      <c r="B73" s="3" t="inlineStr">
        <is>
          <t>정조</t>
        </is>
      </c>
      <c r="C73" s="3" t="inlineStr">
        <is>
          <t>wva_10303027_003</t>
        </is>
      </c>
      <c r="D73" s="3" t="inlineStr">
        <is>
          <t>正祖實錄</t>
        </is>
      </c>
      <c r="E73" s="3" t="inlineStr">
        <is>
          <t>1779-03-27</t>
        </is>
      </c>
      <c r="F73" s="3" t="inlineStr">
        <is>
          <t>내각에 처음으로 검서관을 두다</t>
        </is>
      </c>
      <c r="G73" s="7" t="n">
        <v>24</v>
      </c>
      <c r="H73" s="7" t="n">
        <v>49</v>
      </c>
      <c r="I73" s="7" t="n">
        <v>1</v>
      </c>
      <c r="J73" s="3" t="inlineStr">
        <is>
          <t>검서관 설치(서얼 등용·실학자)</t>
        </is>
      </c>
    </row>
    <row r="74">
      <c r="A74" s="3" t="n">
        <v>73</v>
      </c>
      <c r="B74" s="3" t="inlineStr">
        <is>
          <t>정조</t>
        </is>
      </c>
      <c r="C74" s="3" t="inlineStr">
        <is>
          <t>wva_10502017_003</t>
        </is>
      </c>
      <c r="D74" s="3" t="inlineStr">
        <is>
          <t>正祖實錄</t>
        </is>
      </c>
      <c r="E74" s="3" t="inlineStr">
        <is>
          <t>1781-02-17</t>
        </is>
      </c>
      <c r="F74" s="3" t="inlineStr">
        <is>
          <t>문신의 참상, 참하 중 연소한 자를 초계하도록 하다</t>
        </is>
      </c>
      <c r="G74" s="7" t="n">
        <v>326</v>
      </c>
      <c r="H74" s="7" t="n">
        <v>653</v>
      </c>
      <c r="I74" s="7" t="n">
        <v>2</v>
      </c>
      <c r="J74" s="3" t="inlineStr">
        <is>
          <t>초계문신제</t>
        </is>
      </c>
    </row>
    <row r="75">
      <c r="A75" s="3" t="n">
        <v>74</v>
      </c>
      <c r="B75" s="3" t="inlineStr">
        <is>
          <t>정조</t>
        </is>
      </c>
      <c r="C75" s="3" t="inlineStr">
        <is>
          <t>wva_11902112_001</t>
        </is>
      </c>
      <c r="D75" s="3" t="inlineStr">
        <is>
          <t>正祖實錄</t>
        </is>
      </c>
      <c r="E75" s="3" t="inlineStr">
        <is>
          <t>1795-02-12</t>
        </is>
      </c>
      <c r="F75" s="3" t="inlineStr">
        <is>
          <t>현륭원에 참배하고 성조와 야조를 살펴본 뒤 화성의 축성공사에 대해 하교하다</t>
        </is>
      </c>
      <c r="G75" s="7" t="n">
        <v>168</v>
      </c>
      <c r="H75" s="7" t="n">
        <v>342</v>
      </c>
      <c r="I75" s="7" t="n">
        <v>2</v>
      </c>
      <c r="J75" s="3" t="inlineStr">
        <is>
          <t>수원 화성 축성</t>
        </is>
      </c>
    </row>
    <row r="76">
      <c r="A76" s="3" t="n">
        <v>75</v>
      </c>
      <c r="B76" s="3" t="inlineStr">
        <is>
          <t>조선 후기 경제</t>
        </is>
      </c>
      <c r="C76" s="3" t="inlineStr">
        <is>
          <t>wva_11501025_001</t>
        </is>
      </c>
      <c r="D76" s="3" t="inlineStr">
        <is>
          <t>正祖實錄</t>
        </is>
      </c>
      <c r="E76" s="3" t="inlineStr">
        <is>
          <t>1791-01-25</t>
        </is>
      </c>
      <c r="F76" s="3" t="inlineStr">
        <is>
          <t>저자의 백성들에게 육전 이외에서도 매매할 수 있도록 허락하다</t>
        </is>
      </c>
      <c r="G76" s="7" t="n">
        <v>727</v>
      </c>
      <c r="H76" s="7" t="n">
        <v>1349</v>
      </c>
      <c r="I76" s="7" t="n">
        <v>4</v>
      </c>
      <c r="J76" s="3" t="inlineStr">
        <is>
          <t>신해통공</t>
        </is>
      </c>
    </row>
    <row r="77">
      <c r="A77" s="3" t="n">
        <v>76</v>
      </c>
      <c r="B77" s="3" t="inlineStr">
        <is>
          <t>조선 후기 경제</t>
        </is>
      </c>
      <c r="C77" s="3" t="inlineStr">
        <is>
          <t>wva_11502012_001</t>
        </is>
      </c>
      <c r="D77" s="3" t="inlineStr">
        <is>
          <t>正祖實錄</t>
        </is>
      </c>
      <c r="E77" s="3" t="inlineStr">
        <is>
          <t>1791-02-12</t>
        </is>
      </c>
      <c r="F77" s="3" t="inlineStr">
        <is>
          <t>좌의정 채제공이 점포의 폐단을 개혁하는 일로 아뢰다</t>
        </is>
      </c>
      <c r="G77" s="7" t="n">
        <v>395</v>
      </c>
      <c r="H77" s="7" t="n">
        <v>701</v>
      </c>
      <c r="I77" s="7" t="n">
        <v>4</v>
      </c>
      <c r="J77" s="3" t="inlineStr">
        <is>
          <t>채제공의 난전 폐단 개혁</t>
        </is>
      </c>
    </row>
    <row r="78">
      <c r="A78" s="3" t="n">
        <v>77</v>
      </c>
      <c r="B78" s="3" t="inlineStr">
        <is>
          <t>조선 후기 경제</t>
        </is>
      </c>
      <c r="C78" s="3" t="inlineStr">
        <is>
          <t>wva_10511001_002</t>
        </is>
      </c>
      <c r="D78" s="3" t="inlineStr">
        <is>
          <t>正祖實錄</t>
        </is>
      </c>
      <c r="E78" s="3" t="inlineStr">
        <is>
          <t>1781-11-01</t>
        </is>
      </c>
      <c r="F78" s="3" t="inlineStr">
        <is>
          <t>문을 숭상하는 폐단, 도고법의 폐지 등을 아뢴 장령 구수온의 상소문</t>
        </is>
      </c>
      <c r="G78" s="7" t="n">
        <v>1288</v>
      </c>
      <c r="H78" s="7" t="n">
        <v>2264</v>
      </c>
      <c r="I78" s="7" t="n">
        <v>4</v>
      </c>
      <c r="J78" s="3" t="inlineStr">
        <is>
          <t>도고 폐지 상소</t>
        </is>
      </c>
    </row>
    <row r="79">
      <c r="A79" s="3" t="n">
        <v>78</v>
      </c>
      <c r="B79" s="3" t="inlineStr">
        <is>
          <t>조선 후기 경제</t>
        </is>
      </c>
      <c r="C79" s="3" t="inlineStr">
        <is>
          <t>wsa_10501016_001</t>
        </is>
      </c>
      <c r="D79" s="3" t="inlineStr">
        <is>
          <t>肅宗實錄</t>
        </is>
      </c>
      <c r="E79" s="3" t="inlineStr">
        <is>
          <t>1679-01-16</t>
        </is>
      </c>
      <c r="F79" s="3" t="inlineStr">
        <is>
          <t>좌참찬 오정위가 동전 주조를 계속하도록 건의하다</t>
        </is>
      </c>
      <c r="G79" s="7" t="n">
        <v>83</v>
      </c>
      <c r="H79" s="7" t="n">
        <v>169</v>
      </c>
      <c r="I79" s="7" t="n">
        <v>1</v>
      </c>
      <c r="J79" s="3" t="inlineStr">
        <is>
          <t>동전(상평통보) 주조</t>
        </is>
      </c>
    </row>
    <row r="80">
      <c r="A80" s="3" t="n">
        <v>79</v>
      </c>
      <c r="B80" s="3" t="inlineStr">
        <is>
          <t>조선 후기 사회·신분</t>
        </is>
      </c>
      <c r="C80" s="3" t="inlineStr">
        <is>
          <t>wwa_10101028_003</t>
        </is>
      </c>
      <c r="D80" s="3" t="inlineStr">
        <is>
          <t>純祖實錄</t>
        </is>
      </c>
      <c r="E80" s="3" t="inlineStr">
        <is>
          <t>1801-01-28</t>
        </is>
      </c>
      <c r="F80" s="3" t="inlineStr">
        <is>
          <t>내노비와 시노비의 혁파에 관한 윤음을 내리다</t>
        </is>
      </c>
      <c r="G80" s="7" t="n">
        <v>1169</v>
      </c>
      <c r="H80" s="7" t="n">
        <v>2179</v>
      </c>
      <c r="I80" s="7" t="n">
        <v>3</v>
      </c>
      <c r="J80" s="3" t="inlineStr">
        <is>
          <t>공노비 해방 윤음</t>
        </is>
      </c>
    </row>
    <row r="81">
      <c r="A81" s="3" t="n">
        <v>80</v>
      </c>
      <c r="B81" s="3" t="inlineStr">
        <is>
          <t>조선 후기 사회·신분</t>
        </is>
      </c>
      <c r="C81" s="3" t="inlineStr">
        <is>
          <t>wva_10902017_002</t>
        </is>
      </c>
      <c r="D81" s="3" t="inlineStr">
        <is>
          <t>正祖實錄</t>
        </is>
      </c>
      <c r="E81" s="3" t="inlineStr">
        <is>
          <t>1785-02-17</t>
        </is>
      </c>
      <c r="F81" s="3" t="inlineStr">
        <is>
          <t>요직을 제외한 관직에 서얼을 허통시킬 것을 명하다</t>
        </is>
      </c>
      <c r="G81" s="7" t="n">
        <v>175</v>
      </c>
      <c r="H81" s="7" t="n">
        <v>324</v>
      </c>
      <c r="I81" s="7" t="n">
        <v>1</v>
      </c>
      <c r="J81" s="3" t="inlineStr">
        <is>
          <t>서얼 허통</t>
        </is>
      </c>
    </row>
    <row r="82">
      <c r="A82" s="3" t="n">
        <v>81</v>
      </c>
      <c r="B82" s="3" t="inlineStr">
        <is>
          <t>조선 후기 사회·신분</t>
        </is>
      </c>
      <c r="C82" s="3" t="inlineStr">
        <is>
          <t>wua_12105006_004</t>
        </is>
      </c>
      <c r="D82" s="3" t="inlineStr">
        <is>
          <t>英祖實錄</t>
        </is>
      </c>
      <c r="E82" s="3" t="inlineStr">
        <is>
          <t>1745-05-06</t>
        </is>
      </c>
      <c r="F82" s="3" t="inlineStr">
        <is>
          <t>영남의 향전·삼정·호포·옥안 등의 민정에 대해 경상도 심리사 김상적이 아뢰다</t>
        </is>
      </c>
      <c r="G82" s="7" t="n">
        <v>466</v>
      </c>
      <c r="H82" s="7" t="n">
        <v>853</v>
      </c>
      <c r="I82" s="7" t="n">
        <v>3</v>
      </c>
      <c r="J82" s="3" t="inlineStr">
        <is>
          <t>영남 향전 등 민정</t>
        </is>
      </c>
    </row>
    <row r="83">
      <c r="A83" s="3" t="n">
        <v>82</v>
      </c>
      <c r="B83" s="3" t="inlineStr">
        <is>
          <t>세도 정치·민란·천주교</t>
        </is>
      </c>
      <c r="C83" s="3" t="inlineStr">
        <is>
          <t>wwa_10101010_001</t>
        </is>
      </c>
      <c r="D83" s="3" t="inlineStr">
        <is>
          <t>純祖實錄</t>
        </is>
      </c>
      <c r="E83" s="3" t="inlineStr">
        <is>
          <t>1801-01-10</t>
        </is>
      </c>
      <c r="F83" s="3" t="inlineStr">
        <is>
          <t>사학(邪學) 엄금에 관해 대왕 대비가 하교하다</t>
        </is>
      </c>
      <c r="G83" s="7" t="n">
        <v>365</v>
      </c>
      <c r="H83" s="7" t="n">
        <v>637</v>
      </c>
      <c r="I83" s="7" t="n">
        <v>2</v>
      </c>
      <c r="J83" s="3" t="inlineStr">
        <is>
          <t>사학(천주교) 엄금(신유박해)</t>
        </is>
      </c>
    </row>
    <row r="84">
      <c r="A84" s="3" t="n">
        <v>83</v>
      </c>
      <c r="B84" s="3" t="inlineStr">
        <is>
          <t>세도 정치·민란·천주교</t>
        </is>
      </c>
      <c r="C84" s="3" t="inlineStr">
        <is>
          <t>wwa_10110005_002</t>
        </is>
      </c>
      <c r="D84" s="3" t="inlineStr">
        <is>
          <t>純祖實錄</t>
        </is>
      </c>
      <c r="E84" s="3" t="inlineStr">
        <is>
          <t>1801-10-05</t>
        </is>
      </c>
      <c r="F84" s="3" t="inlineStr">
        <is>
          <t>좌포장 임율이 세 조항이 기록된 황사영의 백서를 바치다</t>
        </is>
      </c>
      <c r="G84" s="7" t="n">
        <v>255</v>
      </c>
      <c r="H84" s="7" t="n">
        <v>414</v>
      </c>
      <c r="I84" s="7" t="n">
        <v>1</v>
      </c>
      <c r="J84" s="3" t="inlineStr">
        <is>
          <t>황사영 백서</t>
        </is>
      </c>
    </row>
    <row r="85">
      <c r="A85" s="3" t="n">
        <v>84</v>
      </c>
      <c r="B85" s="3" t="inlineStr">
        <is>
          <t>세도 정치·민란·천주교</t>
        </is>
      </c>
      <c r="C85" s="3" t="inlineStr">
        <is>
          <t>wwa_11112022_003</t>
        </is>
      </c>
      <c r="D85" s="3" t="inlineStr">
        <is>
          <t>純祖實錄</t>
        </is>
      </c>
      <c r="E85" s="3" t="inlineStr">
        <is>
          <t>1811-12-22</t>
        </is>
      </c>
      <c r="F85" s="3" t="inlineStr">
        <is>
          <t>평안 병사가 가산 군수의 살해와 정주 목사가 달아난 사실을 아뢰다</t>
        </is>
      </c>
      <c r="G85" s="7" t="n">
        <v>135</v>
      </c>
      <c r="H85" s="7" t="n">
        <v>258</v>
      </c>
      <c r="I85" s="7" t="n">
        <v>2</v>
      </c>
      <c r="J85" s="3" t="inlineStr">
        <is>
          <t>홍경래의 난 발발</t>
        </is>
      </c>
    </row>
    <row r="86">
      <c r="A86" s="3" t="n">
        <v>85</v>
      </c>
      <c r="B86" s="3" t="inlineStr">
        <is>
          <t>세도 정치·민란·천주교</t>
        </is>
      </c>
      <c r="C86" s="3" t="inlineStr">
        <is>
          <t>wwa_11204028_001</t>
        </is>
      </c>
      <c r="D86" s="3" t="inlineStr">
        <is>
          <t>純祖實錄</t>
        </is>
      </c>
      <c r="E86" s="3" t="inlineStr">
        <is>
          <t>1812-04-28</t>
        </is>
      </c>
      <c r="F86" s="3" t="inlineStr">
        <is>
          <t>적을 평정한 일에 대한 교문</t>
        </is>
      </c>
      <c r="G86" s="7" t="n">
        <v>1701</v>
      </c>
      <c r="H86" s="7" t="n">
        <v>3507</v>
      </c>
      <c r="I86" s="7" t="n">
        <v>5</v>
      </c>
      <c r="J86" s="3" t="inlineStr">
        <is>
          <t>홍경래의 난 평정 교문</t>
        </is>
      </c>
    </row>
    <row r="87">
      <c r="A87" s="3" t="n">
        <v>86</v>
      </c>
      <c r="B87" s="3" t="inlineStr">
        <is>
          <t>세도 정치·민란·천주교</t>
        </is>
      </c>
      <c r="C87" s="3" t="inlineStr">
        <is>
          <t>wya_11302029_003</t>
        </is>
      </c>
      <c r="D87" s="3" t="inlineStr">
        <is>
          <t>哲宗實錄</t>
        </is>
      </c>
      <c r="E87" s="3" t="inlineStr">
        <is>
          <t>1862-02-29</t>
        </is>
      </c>
      <c r="F87" s="3" t="inlineStr">
        <is>
          <t>진주의 난민이 병사를 협박하고 인명을 살상한 일에 대한 조처를 품처하게 하다</t>
        </is>
      </c>
      <c r="G87" s="7" t="n">
        <v>96</v>
      </c>
      <c r="H87" s="7" t="n">
        <v>181</v>
      </c>
      <c r="I87" s="7" t="n">
        <v>1</v>
      </c>
      <c r="J87" s="3" t="inlineStr">
        <is>
          <t>진주 민란(임술 농민 봉기)</t>
        </is>
      </c>
    </row>
    <row r="88">
      <c r="A88" s="3" t="n">
        <v>87</v>
      </c>
      <c r="B88" s="3" t="inlineStr">
        <is>
          <t>세도 정치·민란·천주교</t>
        </is>
      </c>
      <c r="C88" s="3" t="inlineStr">
        <is>
          <t>wya_11305022_004</t>
        </is>
      </c>
      <c r="D88" s="3" t="inlineStr">
        <is>
          <t>哲宗實錄</t>
        </is>
      </c>
      <c r="E88" s="3" t="inlineStr">
        <is>
          <t>1862-05-22</t>
        </is>
      </c>
      <c r="F88" s="3" t="inlineStr">
        <is>
          <t>진주 안핵사 박규수가 민란의 원인이 삼정의 문란에 있음을 아뢰다</t>
        </is>
      </c>
      <c r="G88" s="7" t="n">
        <v>245</v>
      </c>
      <c r="H88" s="7" t="n">
        <v>467</v>
      </c>
      <c r="I88" s="7" t="n">
        <v>1</v>
      </c>
      <c r="J88" s="3" t="inlineStr">
        <is>
          <t>박규수가 아뢴 삼정 문란</t>
        </is>
      </c>
    </row>
    <row r="89">
      <c r="A89" s="3" t="n">
        <v>88</v>
      </c>
      <c r="B89" s="3" t="inlineStr">
        <is>
          <t>세도 정치·민란·천주교</t>
        </is>
      </c>
      <c r="C89" s="3" t="inlineStr">
        <is>
          <t>wya_11306010_002</t>
        </is>
      </c>
      <c r="D89" s="3" t="inlineStr">
        <is>
          <t>哲宗實錄</t>
        </is>
      </c>
      <c r="E89" s="3" t="inlineStr">
        <is>
          <t>1862-06-10</t>
        </is>
      </c>
      <c r="F89" s="3" t="inlineStr">
        <is>
          <t>삼정의 폐단을 바로잡기 위해 문관·음관의 당상 등에게 책문할 것임을 이르다</t>
        </is>
      </c>
      <c r="G89" s="7" t="n">
        <v>152</v>
      </c>
      <c r="H89" s="7" t="n">
        <v>281</v>
      </c>
      <c r="I89" s="7" t="n">
        <v>1</v>
      </c>
      <c r="J89" s="3" t="inlineStr">
        <is>
          <t>삼정 폐단 책문(삼정이정청)</t>
        </is>
      </c>
    </row>
    <row r="90">
      <c r="A90" s="3" t="n">
        <v>89</v>
      </c>
      <c r="B90" s="3" t="inlineStr">
        <is>
          <t>조선 전기 문화·편찬</t>
        </is>
      </c>
      <c r="C90" s="3" t="inlineStr">
        <is>
          <t>wea_10108025_001</t>
        </is>
      </c>
      <c r="D90" s="3" t="inlineStr">
        <is>
          <t>文宗實錄</t>
        </is>
      </c>
      <c r="E90" s="3" t="inlineStr">
        <is>
          <t>1451-08-25</t>
        </is>
      </c>
      <c r="F90" s="3" t="inlineStr">
        <is>
          <t>지춘추관사 김종서 등이 새로 편찬한 《고려사》를 바치다</t>
        </is>
      </c>
      <c r="G90" s="7" t="n">
        <v>897</v>
      </c>
      <c r="H90" s="7" t="n">
        <v>1869</v>
      </c>
      <c r="I90" s="7" t="n">
        <v>4</v>
      </c>
      <c r="J90" s="3" t="inlineStr">
        <is>
          <t>고려사 편찬</t>
        </is>
      </c>
    </row>
    <row r="91">
      <c r="A91" s="3" t="n">
        <v>90</v>
      </c>
      <c r="B91" s="3" t="inlineStr">
        <is>
          <t>호란·북벌</t>
        </is>
      </c>
      <c r="C91" s="3" t="inlineStr">
        <is>
          <t>wpa_11501005_003</t>
        </is>
      </c>
      <c r="D91" s="3" t="inlineStr">
        <is>
          <t>仁祖實錄</t>
        </is>
      </c>
      <c r="E91" s="3" t="inlineStr">
        <is>
          <t>1637-01-05</t>
        </is>
      </c>
      <c r="F91" s="3" t="inlineStr">
        <is>
          <t>전라 병사 김준룡이 치계하여 승전 소식을 전하다</t>
        </is>
      </c>
      <c r="G91" s="7" t="n">
        <v>70</v>
      </c>
      <c r="H91" s="7" t="n">
        <v>140</v>
      </c>
      <c r="I91" s="7" t="n">
        <v>2</v>
      </c>
      <c r="J91" s="3" t="inlineStr">
        <is>
          <t>[정답 근거] 김준룡 광교산 승전(3개 회차 정답)</t>
        </is>
      </c>
    </row>
    <row r="92">
      <c r="A92" s="3" t="n">
        <v>91</v>
      </c>
      <c r="B92" s="3" t="inlineStr">
        <is>
          <t>세종</t>
        </is>
      </c>
      <c r="C92" s="3" t="inlineStr">
        <is>
          <t>wda_11105016_002</t>
        </is>
      </c>
      <c r="D92" s="3" t="inlineStr">
        <is>
          <t>世宗實錄</t>
        </is>
      </c>
      <c r="E92" s="3" t="inlineStr">
        <is>
          <t>1429-05-16</t>
        </is>
      </c>
      <c r="F92" s="3" t="inlineStr">
        <is>
          <t>《농사직설》의 서문</t>
        </is>
      </c>
      <c r="G92" s="7" t="n">
        <v>365</v>
      </c>
      <c r="H92" s="7" t="n">
        <v>665</v>
      </c>
      <c r="I92" s="7" t="n">
        <v>1</v>
      </c>
      <c r="J92" s="3" t="inlineStr">
        <is>
          <t>[정답 근거] 농사직설 서문(2개 회차 정답)</t>
        </is>
      </c>
    </row>
    <row r="93">
      <c r="A93" s="3" t="n">
        <v>92</v>
      </c>
      <c r="B93" s="3" t="inlineStr">
        <is>
          <t>영조</t>
        </is>
      </c>
      <c r="C93" s="3" t="inlineStr">
        <is>
          <t>wua_11604017_002</t>
        </is>
      </c>
      <c r="D93" s="3" t="inlineStr">
        <is>
          <t>英祖實錄</t>
        </is>
      </c>
      <c r="E93" s="3" t="inlineStr">
        <is>
          <t>1740-04-17</t>
        </is>
      </c>
      <c r="F93" s="3" t="inlineStr">
        <is>
          <t>소대에 나아가다. 문의에 따라 역대의 법문을 논하다. 《속대전》이 찬수되다</t>
        </is>
      </c>
      <c r="G93" s="7" t="n">
        <v>502</v>
      </c>
      <c r="H93" s="7" t="n">
        <v>986</v>
      </c>
      <c r="I93" s="7" t="n">
        <v>5</v>
      </c>
      <c r="J93" s="3" t="inlineStr">
        <is>
          <t>[정답 근거] 속대전 찬수(2개 회차 정답)</t>
        </is>
      </c>
    </row>
    <row r="94">
      <c r="A94" s="3" t="n">
        <v>93</v>
      </c>
      <c r="B94" s="3" t="inlineStr">
        <is>
          <t>조선 건국·태조·태종</t>
        </is>
      </c>
      <c r="C94" s="3" t="inlineStr">
        <is>
          <t>waa_000082</t>
        </is>
      </c>
      <c r="D94" s="3" t="inlineStr">
        <is>
          <t>太祖實錄</t>
        </is>
      </c>
      <c r="E94" s="3" t="inlineStr">
        <is>
          <t>총서</t>
        </is>
      </c>
      <c r="F94" s="3" t="inlineStr">
        <is>
          <t>우왕과 최영이 요동을 공격하기로 결정하다</t>
        </is>
      </c>
      <c r="G94" s="7" t="n">
        <v>33</v>
      </c>
      <c r="H94" s="7" t="n">
        <v>66</v>
      </c>
      <c r="I94" s="7" t="n">
        <v>1</v>
      </c>
      <c r="J94" s="3" t="inlineStr">
        <is>
          <t>[정답 근거] 우왕·최영의 요동 공격 결정</t>
        </is>
      </c>
    </row>
    <row r="95">
      <c r="A95" s="3" t="n">
        <v>94</v>
      </c>
      <c r="B95" s="3" t="inlineStr">
        <is>
          <t>조선 건국·태조·태종</t>
        </is>
      </c>
      <c r="C95" s="3" t="inlineStr">
        <is>
          <t>waa_10305030_001</t>
        </is>
      </c>
      <c r="D95" s="3" t="inlineStr">
        <is>
          <t>太祖實錄</t>
        </is>
      </c>
      <c r="E95" s="3" t="inlineStr">
        <is>
          <t>1394-05-30</t>
        </is>
      </c>
      <c r="F95" s="3" t="inlineStr">
        <is>
          <t>정도전이 《조선경국전》을 저술하여 바치다</t>
        </is>
      </c>
      <c r="G95" s="7" t="n">
        <v>48</v>
      </c>
      <c r="H95" s="7" t="n">
        <v>61</v>
      </c>
      <c r="I95" s="7" t="n">
        <v>1</v>
      </c>
      <c r="J95" s="3" t="inlineStr">
        <is>
          <t>[정답 근거] 정도전 조선경국전</t>
        </is>
      </c>
    </row>
    <row r="96">
      <c r="A96" s="3" t="n">
        <v>95</v>
      </c>
      <c r="B96" s="3" t="inlineStr">
        <is>
          <t>임진왜란</t>
        </is>
      </c>
      <c r="C96" s="3" t="inlineStr">
        <is>
          <t>wnb_13009001_003</t>
        </is>
      </c>
      <c r="D96" s="3" t="inlineStr">
        <is>
          <t>宣祖修正實錄</t>
        </is>
      </c>
      <c r="E96" s="3" t="inlineStr">
        <is>
          <t>1597-09-01</t>
        </is>
      </c>
      <c r="F96" s="3" t="inlineStr">
        <is>
          <t>통제사 이순신이 진도 벽파정 아래에서 적을 격파하여 왜장을 죽이다</t>
        </is>
      </c>
      <c r="G96" s="7" t="n">
        <v>139</v>
      </c>
      <c r="H96" s="7" t="n">
        <v>251</v>
      </c>
      <c r="I96" s="7" t="n">
        <v>1</v>
      </c>
      <c r="J96" s="3" t="inlineStr">
        <is>
          <t>[정답 근거] 명량 해전(진도 벽파정 승전)</t>
        </is>
      </c>
    </row>
    <row r="97">
      <c r="A97" s="3" t="n">
        <v>96</v>
      </c>
      <c r="B97" s="3" t="inlineStr">
        <is>
          <t>조선 후기 사회·신분</t>
        </is>
      </c>
      <c r="C97" s="3" t="inlineStr">
        <is>
          <t>wda_11606021_004</t>
        </is>
      </c>
      <c r="D97" s="3" t="inlineStr">
        <is>
          <t>世宗實錄</t>
        </is>
      </c>
      <c r="E97" s="3" t="inlineStr">
        <is>
          <t>1434-06-21</t>
        </is>
      </c>
      <c r="F97" s="3" t="inlineStr">
        <is>
          <t>주자소에서 인행한 노걸대·박통사를 승문원·사역원에 나누어 주다</t>
        </is>
      </c>
      <c r="G97" s="7" t="n">
        <v>38</v>
      </c>
      <c r="H97" s="7" t="n">
        <v>58</v>
      </c>
      <c r="I97" s="7" t="n">
        <v>1</v>
      </c>
      <c r="J97" s="3" t="inlineStr">
        <is>
          <t>[정답 근거] 사역원 노걸대(역관 교육·2개 회차 정답)</t>
        </is>
      </c>
    </row>
    <row r="98">
      <c r="A98" s="3" t="n">
        <v>97</v>
      </c>
      <c r="B98" s="3" t="inlineStr">
        <is>
          <t>호란·북벌</t>
        </is>
      </c>
      <c r="C98" s="3" t="inlineStr">
        <is>
          <t>woa_10311021_002</t>
        </is>
      </c>
      <c r="D98" s="3" t="inlineStr">
        <is>
          <t>光海君日記</t>
        </is>
      </c>
      <c r="E98" s="3" t="inlineStr">
        <is>
          <t>1611-11-21</t>
        </is>
      </c>
      <c r="F98" s="3" t="inlineStr">
        <is>
          <t>내의원에서 《동의보감》을 간행하는 일을 가지고 아뢰다</t>
        </is>
      </c>
      <c r="G98" s="7" t="n">
        <v>375</v>
      </c>
      <c r="H98" s="7" t="n">
        <v>643</v>
      </c>
      <c r="I98" s="7" t="n">
        <v>1</v>
      </c>
      <c r="J98" s="3" t="inlineStr">
        <is>
          <t>[정답 근거] 광해군 때 동의보감 간행</t>
        </is>
      </c>
    </row>
    <row r="99">
      <c r="A99" s="3" t="n">
        <v>98</v>
      </c>
      <c r="B99" s="3" t="inlineStr">
        <is>
          <t>붕당·예송·환국</t>
        </is>
      </c>
      <c r="C99" s="3" t="inlineStr">
        <is>
          <t>wsa_11506003_002</t>
        </is>
      </c>
      <c r="D99" s="3" t="inlineStr">
        <is>
          <t>肅宗實錄</t>
        </is>
      </c>
      <c r="E99" s="3" t="inlineStr">
        <is>
          <t>1689-06-03</t>
        </is>
      </c>
      <c r="F99" s="3" t="inlineStr">
        <is>
          <t>송시열의 졸기</t>
        </is>
      </c>
      <c r="G99" s="7" t="n">
        <v>1881</v>
      </c>
      <c r="H99" s="7" t="n">
        <v>3829</v>
      </c>
      <c r="I99" s="7" t="n">
        <v>19</v>
      </c>
      <c r="J99" s="3" t="inlineStr">
        <is>
          <t>[정답 근거] 송시열 졸기(기사환국 뒤 사사)</t>
        </is>
      </c>
    </row>
    <row r="100">
      <c r="A100" s="3" t="n">
        <v>99</v>
      </c>
      <c r="B100" s="3" t="inlineStr">
        <is>
          <t>통치 기구·지방·군사</t>
        </is>
      </c>
      <c r="C100" s="3" t="inlineStr">
        <is>
          <t>wca_10107013_002</t>
        </is>
      </c>
      <c r="D100" s="3" t="inlineStr">
        <is>
          <t>太宗實錄</t>
        </is>
      </c>
      <c r="E100" s="3" t="inlineStr">
        <is>
          <t>1401-07-13</t>
        </is>
      </c>
      <c r="F100" s="3" t="inlineStr">
        <is>
          <t>관제 개편</t>
        </is>
      </c>
      <c r="G100" s="7" t="n">
        <v>395</v>
      </c>
      <c r="H100" s="7" t="n">
        <v>544</v>
      </c>
      <c r="I100" s="7" t="n">
        <v>1</v>
      </c>
      <c r="J100" s="3" t="inlineStr">
        <is>
          <t>[정답 근거] 태종 관제 개편(문하부 낭사→사간원)</t>
        </is>
      </c>
    </row>
    <row r="101">
      <c r="A101" s="3" t="n">
        <v>100</v>
      </c>
      <c r="B101" s="3" t="inlineStr">
        <is>
          <t>호란·북벌</t>
        </is>
      </c>
      <c r="C101" s="3" t="inlineStr">
        <is>
          <t>wpa_11501018_001</t>
        </is>
      </c>
      <c r="D101" s="3" t="inlineStr">
        <is>
          <t>仁祖實錄</t>
        </is>
      </c>
      <c r="E101" s="3" t="inlineStr">
        <is>
          <t>1637-01-18</t>
        </is>
      </c>
      <c r="F101" s="3" t="inlineStr">
        <is>
          <t>예조 판서 김상헌이 최명길이 지은 국서를 찢고 주벌을 청하다</t>
        </is>
      </c>
      <c r="G101" s="7" t="n">
        <v>913</v>
      </c>
      <c r="H101" s="7" t="n">
        <v>1829</v>
      </c>
      <c r="I101" s="7" t="n">
        <v>7</v>
      </c>
      <c r="J101" s="3" t="inlineStr">
        <is>
          <t>[정답 근거] 김상헌 국서를 찢고 화의 반대</t>
        </is>
      </c>
    </row>
    <row r="102">
      <c r="A102" s="3" t="n">
        <v>101</v>
      </c>
      <c r="B102" s="3" t="inlineStr">
        <is>
          <t>조선 건국·태조·태종</t>
        </is>
      </c>
      <c r="C102" s="3" t="inlineStr">
        <is>
          <t>wca_10302013_001</t>
        </is>
      </c>
      <c r="D102" s="3" t="inlineStr">
        <is>
          <t>太宗實錄</t>
        </is>
      </c>
      <c r="E102" s="3" t="inlineStr">
        <is>
          <t>1403-02-13</t>
        </is>
      </c>
      <c r="F102" s="3" t="inlineStr">
        <is>
          <t>주자소를 설치하고, 이직·민무질·박석명·이응을 제조로 삼다</t>
        </is>
      </c>
      <c r="G102" s="7" t="n">
        <v>86</v>
      </c>
      <c r="H102" s="7" t="n">
        <v>164</v>
      </c>
      <c r="I102" s="7" t="n">
        <v>1</v>
      </c>
      <c r="J102" s="3" t="inlineStr">
        <is>
          <t>[정답 근거] 주자소 설치(계미자)</t>
        </is>
      </c>
    </row>
    <row r="103">
      <c r="A103" s="3" t="n">
        <v>102</v>
      </c>
      <c r="B103" s="3" t="inlineStr">
        <is>
          <t>세조·계유정난</t>
        </is>
      </c>
      <c r="C103" s="3" t="inlineStr">
        <is>
          <t>wga_10206006_003</t>
        </is>
      </c>
      <c r="D103" s="3" t="inlineStr">
        <is>
          <t>世祖實錄</t>
        </is>
      </c>
      <c r="E103" s="3" t="inlineStr">
        <is>
          <t>1456-06-06</t>
        </is>
      </c>
      <c r="F103" s="3" t="inlineStr">
        <is>
          <t>집현전을 파하고 경연을 정지하며, 소장하던 책을 예문관으로 옮기게 하다</t>
        </is>
      </c>
      <c r="G103" s="7" t="n">
        <v>25</v>
      </c>
      <c r="H103" s="7" t="n">
        <v>40</v>
      </c>
      <c r="I103" s="7" t="n">
        <v>1</v>
      </c>
      <c r="J103" s="3" t="inlineStr">
        <is>
          <t>[정답 근거] 세조가 집현전 폐지</t>
        </is>
      </c>
    </row>
    <row r="104">
      <c r="A104" s="3" t="n">
        <v>103</v>
      </c>
      <c r="B104" s="3" t="inlineStr">
        <is>
          <t>붕당·예송·환국</t>
        </is>
      </c>
      <c r="C104" s="3" t="inlineStr">
        <is>
          <t>wra_10703025_006</t>
        </is>
      </c>
      <c r="D104" s="3" t="inlineStr">
        <is>
          <t>顯宗實錄</t>
        </is>
      </c>
      <c r="E104" s="3" t="inlineStr">
        <is>
          <t>1666-03-25</t>
        </is>
      </c>
      <c r="F104" s="3" t="inlineStr">
        <is>
          <t>복제 논쟁에 대한 관학 유생 홍득우 등이 상소와 송시열의 서신</t>
        </is>
      </c>
      <c r="G104" s="7" t="n">
        <v>4006</v>
      </c>
      <c r="H104" s="7" t="n">
        <v>7038</v>
      </c>
      <c r="I104" s="7" t="n">
        <v>12</v>
      </c>
      <c r="J104" s="3" t="inlineStr">
        <is>
          <t>[정답 근거] 복제 논쟁과 송시열 서신(기년설)</t>
        </is>
      </c>
    </row>
    <row r="105">
      <c r="A105" s="3" t="n">
        <v>104</v>
      </c>
      <c r="B105" s="3" t="inlineStr">
        <is>
          <t>영조</t>
        </is>
      </c>
      <c r="C105" s="3" t="inlineStr">
        <is>
          <t>wua_12706017_001</t>
        </is>
      </c>
      <c r="D105" s="3" t="inlineStr">
        <is>
          <t>英祖實錄</t>
        </is>
      </c>
      <c r="E105" s="3" t="inlineStr">
        <is>
          <t>1751-06-17</t>
        </is>
      </c>
      <c r="F105" s="3" t="inlineStr">
        <is>
          <t>명정문에 나아가 향유·향리 등에게 결전의 편리 여부를 순문하다</t>
        </is>
      </c>
      <c r="G105" s="7" t="n">
        <v>420</v>
      </c>
      <c r="H105" s="7" t="n">
        <v>851</v>
      </c>
      <c r="I105" s="7" t="n">
        <v>6</v>
      </c>
      <c r="J105" s="3" t="inlineStr">
        <is>
          <t>[정답 근거] 결전 순문(균역법 보충책)</t>
        </is>
      </c>
    </row>
    <row r="106">
      <c r="A106" s="3" t="n">
        <v>105</v>
      </c>
      <c r="B106" s="3" t="inlineStr">
        <is>
          <t>임진왜란</t>
        </is>
      </c>
      <c r="C106" s="3" t="inlineStr">
        <is>
          <t>wna_14001004_004</t>
        </is>
      </c>
      <c r="D106" s="3" t="inlineStr">
        <is>
          <t>宣祖實錄</t>
        </is>
      </c>
      <c r="E106" s="3" t="inlineStr">
        <is>
          <t>1607-01-04</t>
        </is>
      </c>
      <c r="F106" s="3" t="inlineStr">
        <is>
          <t>쇄환사라 호칭하는 일과 이에 대한 왜적의 힐문에 대한 답변을 조처하도록 하다</t>
        </is>
      </c>
      <c r="G106" s="7" t="n">
        <v>227</v>
      </c>
      <c r="H106" s="7" t="n">
        <v>388</v>
      </c>
      <c r="I106" s="7" t="n">
        <v>1</v>
      </c>
      <c r="J106" s="3" t="inlineStr">
        <is>
          <t>[정답 근거·본문] 쇄환사 호칭 문제(회답겸쇄환사)</t>
        </is>
      </c>
    </row>
    <row r="107">
      <c r="A107" s="3" t="n">
        <v>106</v>
      </c>
      <c r="B107" s="3" t="inlineStr">
        <is>
          <t>붕당·예송·환국</t>
        </is>
      </c>
      <c r="C107" s="3" t="inlineStr">
        <is>
          <t>wsa_11505002_007</t>
        </is>
      </c>
      <c r="D107" s="3" t="inlineStr">
        <is>
          <t>肅宗實錄</t>
        </is>
      </c>
      <c r="E107" s="3" t="inlineStr">
        <is>
          <t>1689-05-02</t>
        </is>
      </c>
      <c r="F107" s="3" t="inlineStr">
        <is>
          <t>폐비 민씨에 대해 부부의 은혜를 바라는 영의정 권대운의 차자</t>
        </is>
      </c>
      <c r="G107" s="7" t="n">
        <v>271</v>
      </c>
      <c r="H107" s="7" t="n">
        <v>495</v>
      </c>
      <c r="I107" s="7" t="n">
        <v>3</v>
      </c>
      <c r="J107" s="3" t="inlineStr">
        <is>
          <t>[정답 근거] 폐비 민씨(인현왕후 폐위)</t>
        </is>
      </c>
    </row>
    <row r="108">
      <c r="A108" s="3" t="n">
        <v>107</v>
      </c>
      <c r="B108" s="3" t="inlineStr">
        <is>
          <t>세도 정치·민란·천주교</t>
        </is>
      </c>
      <c r="C108" s="3" t="inlineStr">
        <is>
          <t>wwa_10102009_006</t>
        </is>
      </c>
      <c r="D108" s="3" t="inlineStr">
        <is>
          <t>純祖實錄</t>
        </is>
      </c>
      <c r="E108" s="3" t="inlineStr">
        <is>
          <t>1801-02-09</t>
        </is>
      </c>
      <c r="F108" s="3" t="inlineStr">
        <is>
          <t>헌부에서 이가환·이승훈·정약용을 탄핵하다</t>
        </is>
      </c>
      <c r="G108" s="7" t="n">
        <v>388</v>
      </c>
      <c r="H108" s="7" t="n">
        <v>703</v>
      </c>
      <c r="I108" s="7" t="n">
        <v>1</v>
      </c>
      <c r="J108" s="3" t="inlineStr">
        <is>
          <t>[정답 근거] 이가환·이승훈·정약용 탄핵(신유박해)</t>
        </is>
      </c>
    </row>
    <row r="109">
      <c r="A109" s="3" t="n">
        <v>108</v>
      </c>
      <c r="B109" s="3" t="inlineStr">
        <is>
          <t>세도 정치·민란·천주교</t>
        </is>
      </c>
      <c r="C109" s="3" t="inlineStr">
        <is>
          <t>wwa_11201021_002</t>
        </is>
      </c>
      <c r="D109" s="3" t="inlineStr">
        <is>
          <t>純祖實錄</t>
        </is>
      </c>
      <c r="E109" s="3" t="inlineStr">
        <is>
          <t>1812-01-21</t>
        </is>
      </c>
      <c r="F109" s="3" t="inlineStr">
        <is>
          <t>비국에서 전평안 감사 이만수의 장계로 정주성 수복과 김창시·김익순의 일을 아뢰다</t>
        </is>
      </c>
      <c r="G109" s="7" t="n">
        <v>241</v>
      </c>
      <c r="H109" s="7" t="n">
        <v>396</v>
      </c>
      <c r="I109" s="7" t="n">
        <v>1</v>
      </c>
      <c r="J109" s="3" t="inlineStr">
        <is>
          <t>[정답 근거] 정주성 수복(홍경래의 난)</t>
        </is>
      </c>
    </row>
    <row r="110">
      <c r="A110" s="3" t="n">
        <v>109</v>
      </c>
      <c r="B110" s="3" t="inlineStr">
        <is>
          <t>세종</t>
        </is>
      </c>
      <c r="C110" s="3" t="inlineStr">
        <is>
          <t>wda_11406009_002</t>
        </is>
      </c>
      <c r="D110" s="3" t="inlineStr">
        <is>
          <t>世宗實錄</t>
        </is>
      </c>
      <c r="E110" s="3" t="inlineStr">
        <is>
          <t>1432-06-09</t>
        </is>
      </c>
      <c r="F110" s="3" t="inlineStr">
        <is>
          <t>집현전에서 《삼강행실》을 편찬하여 서와 전문을 더불어 올리다</t>
        </is>
      </c>
      <c r="G110" s="7" t="n">
        <v>1403</v>
      </c>
      <c r="H110" s="7" t="n">
        <v>2714</v>
      </c>
      <c r="I110" s="7" t="n">
        <v>5</v>
      </c>
      <c r="J110" s="3" t="inlineStr">
        <is>
          <t>[정답 근거] 삼강행실 편찬</t>
        </is>
      </c>
    </row>
    <row r="111">
      <c r="A111" s="3" t="n">
        <v>110</v>
      </c>
      <c r="B111" s="3" t="inlineStr">
        <is>
          <t>임진왜란</t>
        </is>
      </c>
      <c r="C111" s="3" t="inlineStr">
        <is>
          <t>wna_12602024_009</t>
        </is>
      </c>
      <c r="D111" s="3" t="inlineStr">
        <is>
          <t>宣祖實錄</t>
        </is>
      </c>
      <c r="E111" s="3" t="inlineStr">
        <is>
          <t>1593-02-24</t>
        </is>
      </c>
      <c r="F111" s="3" t="inlineStr">
        <is>
          <t>함경북도 평사 정문부가 왜적을 소탕한 일을 치계하다</t>
        </is>
      </c>
      <c r="G111" s="7" t="n">
        <v>351</v>
      </c>
      <c r="H111" s="7" t="n">
        <v>586</v>
      </c>
      <c r="I111" s="7" t="n">
        <v>1</v>
      </c>
      <c r="J111" s="3" t="inlineStr">
        <is>
          <t>[정답 근거] 정문부 함경도 왜적 소탕(북관대첩)</t>
        </is>
      </c>
    </row>
    <row r="112">
      <c r="A112" s="3" t="n">
        <v>111</v>
      </c>
      <c r="B112" s="3" t="inlineStr">
        <is>
          <t>정조</t>
        </is>
      </c>
      <c r="C112" s="3" t="inlineStr">
        <is>
          <t>wva_11404029_005</t>
        </is>
      </c>
      <c r="D112" s="3" t="inlineStr">
        <is>
          <t>正祖實錄</t>
        </is>
      </c>
      <c r="E112" s="3" t="inlineStr">
        <is>
          <t>1790-04-29</t>
        </is>
      </c>
      <c r="F112" s="3" t="inlineStr">
        <is>
          <t>《무예도보통지》가 완성되다</t>
        </is>
      </c>
      <c r="G112" s="7" t="n">
        <v>453</v>
      </c>
      <c r="H112" s="7" t="n">
        <v>756</v>
      </c>
      <c r="I112" s="7" t="n">
        <v>2</v>
      </c>
      <c r="J112" s="3" t="inlineStr">
        <is>
          <t>[정답 근거] 무예도보통지 완성</t>
        </is>
      </c>
    </row>
    <row r="113">
      <c r="A113" s="3" t="n">
        <v>112</v>
      </c>
      <c r="B113" s="3" t="inlineStr">
        <is>
          <t>조선 후기 사회·신분</t>
        </is>
      </c>
      <c r="C113" s="3" t="inlineStr">
        <is>
          <t>wva_10208001_002</t>
        </is>
      </c>
      <c r="D113" s="3" t="inlineStr">
        <is>
          <t>正祖實錄</t>
        </is>
      </c>
      <c r="E113" s="3" t="inlineStr">
        <is>
          <t>1778-08-01</t>
        </is>
      </c>
      <c r="F113" s="3" t="inlineStr">
        <is>
          <t>서얼의 상서 치록을 요구하는 삼남 유생 황경헌 등의 상소</t>
        </is>
      </c>
      <c r="G113" s="7" t="n">
        <v>2245</v>
      </c>
      <c r="H113" s="7" t="n">
        <v>4121</v>
      </c>
      <c r="I113" s="7" t="n">
        <v>10</v>
      </c>
      <c r="J113" s="3" t="inlineStr">
        <is>
          <t>[정답 근거] 서얼 상소(통청 운동)</t>
        </is>
      </c>
    </row>
    <row r="114">
      <c r="A114" s="3" t="n">
        <v>113</v>
      </c>
      <c r="B114" s="3" t="inlineStr">
        <is>
          <t>세도 정치·민란·천주교</t>
        </is>
      </c>
      <c r="C114" s="3" t="inlineStr">
        <is>
          <t>wwa_11205005_002</t>
        </is>
      </c>
      <c r="D114" s="3" t="inlineStr">
        <is>
          <t>純祖實錄</t>
        </is>
      </c>
      <c r="E114" s="3" t="inlineStr">
        <is>
          <t>1812-05-05</t>
        </is>
      </c>
      <c r="F114" s="3" t="inlineStr">
        <is>
          <t>추국 죄인 우군칙 등이 복주되다</t>
        </is>
      </c>
      <c r="G114" s="7" t="n">
        <v>266</v>
      </c>
      <c r="H114" s="7" t="n">
        <v>475</v>
      </c>
      <c r="I114" s="7" t="n">
        <v>1</v>
      </c>
      <c r="J114" s="3" t="inlineStr">
        <is>
          <t>[정답 근거] 우군칙 등 복주(홍경래의 난 주도자)</t>
        </is>
      </c>
    </row>
    <row r="115">
      <c r="A115" s="3" t="n">
        <v>114</v>
      </c>
      <c r="B115" s="3" t="inlineStr">
        <is>
          <t>조선 후기 경제</t>
        </is>
      </c>
      <c r="C115" s="3" t="inlineStr">
        <is>
          <t>wua_13711025_002</t>
        </is>
      </c>
      <c r="D115" s="3" t="inlineStr">
        <is>
          <t>英祖實錄</t>
        </is>
      </c>
      <c r="E115" s="3" t="inlineStr">
        <is>
          <t>1761-11-25</t>
        </is>
      </c>
      <c r="F115" s="3" t="inlineStr">
        <is>
          <t>동지를 맞아 지일 윤음을 내리다</t>
        </is>
      </c>
      <c r="G115" s="7" t="n">
        <v>701</v>
      </c>
      <c r="H115" s="7" t="n">
        <v>1341</v>
      </c>
      <c r="I115" s="7" t="n">
        <v>2</v>
      </c>
      <c r="J115" s="3" t="inlineStr">
        <is>
          <t>[정답 근거·본문] 대동법 뒤 공인이 혜택을 받았는지 묻는 영조 윤음</t>
        </is>
      </c>
    </row>
    <row r="116">
      <c r="A116" s="3" t="n">
        <v>115</v>
      </c>
      <c r="B116" s="3" t="inlineStr">
        <is>
          <t>세조·계유정난</t>
        </is>
      </c>
      <c r="C116" s="3" t="inlineStr">
        <is>
          <t>wga_10706016_002</t>
        </is>
      </c>
      <c r="D116" s="3" t="inlineStr">
        <is>
          <t>世祖實錄</t>
        </is>
      </c>
      <c r="E116" s="3" t="inlineStr">
        <is>
          <t>1461-06-16</t>
        </is>
      </c>
      <c r="F116" s="3" t="inlineStr">
        <is>
          <t>처음으로 간경 도감을 설치하고, 도제조·제조·사·부사·판관을 두다</t>
        </is>
      </c>
      <c r="G116" s="7" t="n">
        <v>24</v>
      </c>
      <c r="H116" s="7" t="n">
        <v>38</v>
      </c>
      <c r="I116" s="7" t="n">
        <v>1</v>
      </c>
      <c r="J116" s="3" t="inlineStr">
        <is>
          <t>[정답 근거·본문] 간경도감 처음 설치</t>
        </is>
      </c>
    </row>
    <row r="117">
      <c r="A117" s="3" t="n">
        <v>116</v>
      </c>
      <c r="B117" s="3" t="inlineStr">
        <is>
          <t>세종</t>
        </is>
      </c>
      <c r="C117" s="3" t="inlineStr">
        <is>
          <t>wda_12703030_004</t>
        </is>
      </c>
      <c r="D117" s="3" t="inlineStr">
        <is>
          <t>世宗實錄</t>
        </is>
      </c>
      <c r="E117" s="3" t="inlineStr">
        <is>
          <t>1445-03-30</t>
        </is>
      </c>
      <c r="F117" s="3" t="inlineStr">
        <is>
          <t>동부승지 이순지의 《제가역상집》 발문</t>
        </is>
      </c>
      <c r="G117" s="7" t="n">
        <v>380</v>
      </c>
      <c r="H117" s="7" t="n">
        <v>619</v>
      </c>
      <c r="I117" s="7" t="n">
        <v>1</v>
      </c>
      <c r="J117" s="3" t="inlineStr">
        <is>
          <t>[정답 근거·본문] 칠정산 내외편 편찬이 나오는 이순지 발문</t>
        </is>
      </c>
    </row>
    <row r="118">
      <c r="A118" s="3" t="n">
        <v>117</v>
      </c>
      <c r="B118" s="3" t="inlineStr">
        <is>
          <t>사화·사림</t>
        </is>
      </c>
      <c r="C118" s="3" t="inlineStr">
        <is>
          <t>wnb_10205001_001</t>
        </is>
      </c>
      <c r="D118" s="3" t="inlineStr">
        <is>
          <t>宣祖修正實錄</t>
        </is>
      </c>
      <c r="E118" s="3" t="inlineStr">
        <is>
          <t>1569-05-01</t>
        </is>
      </c>
      <c r="F118" s="3" t="inlineStr">
        <is>
          <t>경상 감사가 남의 집을 헐어버린 진주 유생에 대해 죄줄 것을 아뢰다</t>
        </is>
      </c>
      <c r="G118" s="7" t="n">
        <v>319</v>
      </c>
      <c r="H118" s="7" t="n">
        <v>581</v>
      </c>
      <c r="I118" s="7" t="n">
        <v>4</v>
      </c>
      <c r="J118" s="3" t="inlineStr">
        <is>
          <t>[정답 근거·본문] 조식과 제자 정인홍</t>
        </is>
      </c>
    </row>
    <row r="119">
      <c r="A119" s="3" t="n">
        <v>118</v>
      </c>
      <c r="B119" s="3" t="inlineStr">
        <is>
          <t>영조</t>
        </is>
      </c>
      <c r="C119" s="3" t="inlineStr">
        <is>
          <t>wua_12702027_003</t>
        </is>
      </c>
      <c r="D119" s="3" t="inlineStr">
        <is>
          <t>英祖實錄</t>
        </is>
      </c>
      <c r="E119" s="3" t="inlineStr">
        <is>
          <t>1751-02-27</t>
        </is>
      </c>
      <c r="F119" s="3" t="inlineStr">
        <is>
          <t>대사성 민백상이 상서하여 선무 군관을 고강할 것을 청하다</t>
        </is>
      </c>
      <c r="G119" s="7" t="n">
        <v>612</v>
      </c>
      <c r="H119" s="7" t="n">
        <v>1151</v>
      </c>
      <c r="I119" s="7" t="n">
        <v>2</v>
      </c>
      <c r="J119" s="3" t="inlineStr">
        <is>
          <t>[정답 근거·본문] 선무군관 고강 상서(균역법 보충책)</t>
        </is>
      </c>
    </row>
    <row r="120">
      <c r="A120" s="3" t="n">
        <v>119</v>
      </c>
      <c r="B120" s="3" t="inlineStr">
        <is>
          <t>성종 통치 정비</t>
        </is>
      </c>
      <c r="C120" s="3" t="inlineStr">
        <is>
          <t>wia_10104020_005</t>
        </is>
      </c>
      <c r="D120" s="3" t="inlineStr">
        <is>
          <t>成宗實錄</t>
        </is>
      </c>
      <c r="E120" s="3" t="inlineStr">
        <is>
          <t>1470-04-20</t>
        </is>
      </c>
      <c r="F120" s="3" t="inlineStr">
        <is>
          <t>대왕 대비가 인수 왕비로 정사 청단하게 할 것을 이르니 원상들이 불가함을 아뢰다</t>
        </is>
      </c>
      <c r="G120" s="7" t="n">
        <v>410</v>
      </c>
      <c r="H120" s="7" t="n">
        <v>787</v>
      </c>
      <c r="I120" s="7" t="n">
        <v>5</v>
      </c>
      <c r="J120" s="3" t="inlineStr">
        <is>
          <t>[정답 근거·본문] 직전세 관수관급</t>
        </is>
      </c>
    </row>
    <row r="121">
      <c r="A121" s="3" t="n">
        <v>120</v>
      </c>
      <c r="B121" s="3" t="inlineStr">
        <is>
          <t>통치 기구·지방·군사</t>
        </is>
      </c>
      <c r="C121" s="3" t="inlineStr">
        <is>
          <t>wda_11709001_001</t>
        </is>
      </c>
      <c r="D121" s="3" t="inlineStr">
        <is>
          <t>世宗實錄</t>
        </is>
      </c>
      <c r="E121" s="3" t="inlineStr">
        <is>
          <t>1435-09-01</t>
        </is>
      </c>
      <c r="F121" s="3" t="inlineStr">
        <is>
          <t>예조에서 팔조 호구의 법식을 지킬 것을 아뢰다</t>
        </is>
      </c>
      <c r="G121" s="7" t="n">
        <v>260</v>
      </c>
      <c r="H121" s="7" t="n">
        <v>393</v>
      </c>
      <c r="I121" s="7" t="n">
        <v>1</v>
      </c>
      <c r="J121" s="3" t="inlineStr">
        <is>
          <t>[정답 근거·본문] 경재소가 좌수를 정함</t>
        </is>
      </c>
    </row>
    <row r="122">
      <c r="A122" s="3" t="n">
        <v>121</v>
      </c>
      <c r="B122" s="3" t="inlineStr">
        <is>
          <t>대외관계</t>
        </is>
      </c>
      <c r="C122" s="3" t="inlineStr">
        <is>
          <t>wra_11410019_001</t>
        </is>
      </c>
      <c r="D122" s="3" t="inlineStr">
        <is>
          <t>顯宗實錄</t>
        </is>
      </c>
      <c r="E122" s="3" t="inlineStr">
        <is>
          <t>1673-10-19</t>
        </is>
      </c>
      <c r="F122" s="3" t="inlineStr">
        <is>
          <t>왜관의 초량항으로의 이전을 허락하다</t>
        </is>
      </c>
      <c r="G122" s="7" t="n">
        <v>176</v>
      </c>
      <c r="H122" s="7" t="n">
        <v>343</v>
      </c>
      <c r="I122" s="7" t="n">
        <v>3</v>
      </c>
      <c r="J122" s="3" t="inlineStr">
        <is>
          <t>[정답 근거·본문] 왜관의 초량 이전 허락</t>
        </is>
      </c>
    </row>
    <row r="123">
      <c r="A123" s="3" t="n">
        <v>122</v>
      </c>
      <c r="B123" s="3" t="inlineStr">
        <is>
          <t>조선 후기 경제</t>
        </is>
      </c>
      <c r="C123" s="3" t="inlineStr">
        <is>
          <t>wsa_10401023_001</t>
        </is>
      </c>
      <c r="D123" s="3" t="inlineStr">
        <is>
          <t>肅宗實錄</t>
        </is>
      </c>
      <c r="E123" s="3" t="inlineStr">
        <is>
          <t>1678-01-23</t>
        </is>
      </c>
      <c r="F123" s="3" t="inlineStr">
        <is>
          <t>대신과 비변사의 제신을 인견하다. 돈을 만들어 사용하게 하다</t>
        </is>
      </c>
      <c r="G123" s="7" t="n">
        <v>328</v>
      </c>
      <c r="H123" s="7" t="n">
        <v>569</v>
      </c>
      <c r="I123" s="7" t="n">
        <v>3</v>
      </c>
      <c r="J123" s="3" t="inlineStr">
        <is>
          <t>[부정형 보기] 상평통보 주조·유통 결정</t>
        </is>
      </c>
    </row>
    <row r="124">
      <c r="A124" s="3" t="n">
        <v>123</v>
      </c>
      <c r="B124" s="3" t="inlineStr">
        <is>
          <t>조선 후기 경제</t>
        </is>
      </c>
      <c r="C124" s="3" t="inlineStr">
        <is>
          <t>wua_10710010_001</t>
        </is>
      </c>
      <c r="D124" s="3" t="inlineStr">
        <is>
          <t>英祖實錄</t>
        </is>
      </c>
      <c r="E124" s="3" t="inlineStr">
        <is>
          <t>1731-10-10</t>
        </is>
      </c>
      <c r="F124" s="3" t="inlineStr">
        <is>
          <t>경기도 양천의 군액 감소와 함경도 정평·안변의 은점 설치에 대해 논하다</t>
        </is>
      </c>
      <c r="G124" s="7" t="n">
        <v>241</v>
      </c>
      <c r="H124" s="7" t="n">
        <v>478</v>
      </c>
      <c r="I124" s="7" t="n">
        <v>3</v>
      </c>
      <c r="J124" s="3" t="inlineStr">
        <is>
          <t>[부정형 보기] 은점 설점수세 건의</t>
        </is>
      </c>
    </row>
    <row r="125">
      <c r="A125" s="3" t="n">
        <v>124</v>
      </c>
      <c r="B125" s="3" t="inlineStr">
        <is>
          <t>조선 후기 경제</t>
        </is>
      </c>
      <c r="C125" s="3" t="inlineStr">
        <is>
          <t>wwa_11502020_001</t>
        </is>
      </c>
      <c r="D125" s="3" t="inlineStr">
        <is>
          <t>純祖實錄</t>
        </is>
      </c>
      <c r="E125" s="3" t="inlineStr">
        <is>
          <t>1815-02-20</t>
        </is>
      </c>
      <c r="F125" s="3" t="inlineStr">
        <is>
          <t>차대에서 김재찬이 근년에 논농사가 한재를 입은 것은 이앙 때문이라고 말하다</t>
        </is>
      </c>
      <c r="G125" s="7" t="n">
        <v>590</v>
      </c>
      <c r="H125" s="7" t="n">
        <v>1070</v>
      </c>
      <c r="I125" s="7" t="n">
        <v>3</v>
      </c>
      <c r="J125" s="3" t="inlineStr">
        <is>
          <t>[부정형 보기] 모내기(이앙)의 확산과 가뭄 피해 논의</t>
        </is>
      </c>
    </row>
    <row r="126">
      <c r="A126" s="3" t="n">
        <v>125</v>
      </c>
      <c r="B126" s="3" t="inlineStr">
        <is>
          <t>조선 후기 경제</t>
        </is>
      </c>
      <c r="C126" s="3" t="inlineStr">
        <is>
          <t>wva_10710014_002</t>
        </is>
      </c>
      <c r="D126" s="3" t="inlineStr">
        <is>
          <t>正祖實錄</t>
        </is>
      </c>
      <c r="E126" s="3" t="inlineStr">
        <is>
          <t>1783-10-14</t>
        </is>
      </c>
      <c r="F126" s="3" t="inlineStr">
        <is>
          <t>대신들과 만부의 후시에 대해 의논하다</t>
        </is>
      </c>
      <c r="G126" s="7" t="n">
        <v>696</v>
      </c>
      <c r="H126" s="7" t="n">
        <v>1289</v>
      </c>
      <c r="I126" s="7" t="n">
        <v>5</v>
      </c>
      <c r="J126" s="3" t="inlineStr">
        <is>
          <t>[부정형 보기] 의주 후시와 만상·송상(대청 무역) 논의</t>
        </is>
      </c>
    </row>
    <row r="127">
      <c r="A127" s="3" t="n">
        <v>126</v>
      </c>
      <c r="B127" s="3" t="inlineStr">
        <is>
          <t>영조</t>
        </is>
      </c>
      <c r="C127" s="3" t="inlineStr">
        <is>
          <t>wua_11803026_004</t>
        </is>
      </c>
      <c r="D127" s="3" t="inlineStr">
        <is>
          <t>英祖實錄</t>
        </is>
      </c>
      <c r="E127" s="3" t="inlineStr">
        <is>
          <t>1742-03-26</t>
        </is>
      </c>
      <c r="F127" s="3" t="inlineStr">
        <is>
          <t>반수교 위에 당습을 일삼지 말 것을 적은 비를 세우다</t>
        </is>
      </c>
      <c r="G127" s="7" t="n">
        <v>118</v>
      </c>
      <c r="H127" s="7" t="n">
        <v>241</v>
      </c>
      <c r="I127" s="7" t="n">
        <v>1</v>
      </c>
      <c r="J127" s="3" t="inlineStr">
        <is>
          <t>[정답 근거·본문] 반수교 위에 탕평비(당습 경계 비) 건립</t>
        </is>
      </c>
    </row>
    <row r="128">
      <c r="A128" s="3" t="n">
        <v>127</v>
      </c>
      <c r="B128" s="3" t="inlineStr">
        <is>
          <t>통치 기구·지방·군사</t>
        </is>
      </c>
      <c r="C128" s="3" t="inlineStr">
        <is>
          <t>wqa_10706011_002</t>
        </is>
      </c>
      <c r="D128" s="3" t="inlineStr">
        <is>
          <t>孝宗實錄</t>
        </is>
      </c>
      <c r="E128" s="3" t="inlineStr">
        <is>
          <t>1656-06-11</t>
        </is>
      </c>
      <c r="F128" s="3" t="inlineStr">
        <is>
          <t>헌부에서 청사에서 무례를 범한 우부승지 채충원의 체차를 청하여 따르다</t>
        </is>
      </c>
      <c r="G128" s="7" t="n">
        <v>89</v>
      </c>
      <c r="H128" s="7" t="n">
        <v>166</v>
      </c>
      <c r="I128" s="7" t="n">
        <v>1</v>
      </c>
      <c r="J128" s="3" t="inlineStr">
        <is>
          <t>[정답 근거·본문] 은대(승정원)는 왕명을 출납하는 곳</t>
        </is>
      </c>
    </row>
    <row r="129">
      <c r="A129" s="3" t="n">
        <v>128</v>
      </c>
      <c r="B129" s="3" t="inlineStr">
        <is>
          <t>임진왜란</t>
        </is>
      </c>
      <c r="C129" s="3" t="inlineStr">
        <is>
          <t>wnb_14005001_002</t>
        </is>
      </c>
      <c r="D129" s="3" t="inlineStr">
        <is>
          <t>宣祖修正實錄</t>
        </is>
      </c>
      <c r="E129" s="3" t="inlineStr">
        <is>
          <t>1607-05-01</t>
        </is>
      </c>
      <c r="F129" s="3" t="inlineStr">
        <is>
          <t>풍원부원군 유성룡의 졸기</t>
        </is>
      </c>
      <c r="G129" s="7" t="n">
        <v>368</v>
      </c>
      <c r="H129" s="7" t="n">
        <v>739</v>
      </c>
      <c r="I129" s="7" t="n">
        <v>2</v>
      </c>
      <c r="J129" s="3" t="inlineStr">
        <is>
          <t>[정답 근거·검색 보완] 유성룡 졸기(징비록 저술)</t>
        </is>
      </c>
    </row>
    <row r="130">
      <c r="A130" s="3" t="n">
        <v>129</v>
      </c>
      <c r="B130" s="3" t="inlineStr">
        <is>
          <t>세도 정치·민란·천주교</t>
        </is>
      </c>
      <c r="C130" s="3" t="inlineStr">
        <is>
          <t>wwa_11904008_005</t>
        </is>
      </c>
      <c r="D130" s="3" t="inlineStr">
        <is>
          <t>純祖實錄</t>
        </is>
      </c>
      <c r="E130" s="3" t="inlineStr">
        <is>
          <t>1819-04-08</t>
        </is>
      </c>
      <c r="F130" s="3" t="inlineStr">
        <is>
          <t>사간 임업이 사무 재결 등에 대하여 상소하다</t>
        </is>
      </c>
      <c r="G130" s="7" t="n">
        <v>387</v>
      </c>
      <c r="H130" s="7" t="n">
        <v>752</v>
      </c>
      <c r="I130" s="7" t="n">
        <v>2</v>
      </c>
      <c r="J130" s="3" t="inlineStr">
        <is>
          <t>[정답 근거·검색 보완] 권세가 아니면 뇌물로 벼슬·과거를 얻는다는 상소(1819)</t>
        </is>
      </c>
    </row>
    <row r="131">
      <c r="A131" s="3" t="n">
        <v>130</v>
      </c>
      <c r="B131" s="3" t="inlineStr">
        <is>
          <t>세도 정치·민란·천주교</t>
        </is>
      </c>
      <c r="C131" s="3" t="inlineStr">
        <is>
          <t>wxa_10609027_002</t>
        </is>
      </c>
      <c r="D131" s="3" t="inlineStr">
        <is>
          <t>憲宗實錄</t>
        </is>
      </c>
      <c r="E131" s="3" t="inlineStr">
        <is>
          <t>1840-09-27</t>
        </is>
      </c>
      <c r="F131" s="3" t="inlineStr">
        <is>
          <t>대사간이 탐관 오리 판부사 이지연과 이조 판서 이기연의 처벌을 상소하다</t>
        </is>
      </c>
      <c r="G131" s="7" t="n">
        <v>929</v>
      </c>
      <c r="H131" s="7" t="n">
        <v>1806</v>
      </c>
      <c r="I131" s="7" t="n">
        <v>4</v>
      </c>
      <c r="J131" s="3" t="inlineStr">
        <is>
          <t>[정답 근거·검색 보완] 이지연·이기연 매관매직 탄핵(1840)</t>
        </is>
      </c>
    </row>
    <row r="132">
      <c r="A132" s="3" t="n">
        <v>131</v>
      </c>
      <c r="B132" s="3" t="inlineStr">
        <is>
          <t>조선 후기 사회·문화(예술)</t>
        </is>
      </c>
      <c r="C132" s="3" t="inlineStr">
        <is>
          <t>wva_11610019_001</t>
        </is>
      </c>
      <c r="D132" s="3" t="inlineStr">
        <is>
          <t>正祖實錄</t>
        </is>
      </c>
      <c r="E132" s="3" t="inlineStr">
        <is>
          <t>1792-10-19</t>
        </is>
      </c>
      <c r="F132" s="3" t="inlineStr">
        <is>
          <t>동지 정사 박종악 등에게 당판의 수입 금지와 소설 문체 사용의 금지를 명하다</t>
        </is>
      </c>
      <c r="G132" s="7" t="n">
        <v>752</v>
      </c>
      <c r="H132" s="7" t="n">
        <v>1404</v>
      </c>
      <c r="I132" s="7" t="n">
        <v>3</v>
      </c>
      <c r="J132" s="3" t="inlineStr">
        <is>
          <t>[문화 보완] 정조가 소설 문체와 청 서적 수입을 금함(문체반정)</t>
        </is>
      </c>
    </row>
    <row r="133">
      <c r="A133" s="3" t="n">
        <v>132</v>
      </c>
      <c r="B133" s="3" t="inlineStr">
        <is>
          <t>조선 후기 사회·문화(예술)</t>
        </is>
      </c>
      <c r="C133" s="3" t="inlineStr">
        <is>
          <t>wva_10509003_002</t>
        </is>
      </c>
      <c r="D133" s="3" t="inlineStr">
        <is>
          <t>正祖實錄</t>
        </is>
      </c>
      <c r="E133" s="3" t="inlineStr">
        <is>
          <t>1781-09-03</t>
        </is>
      </c>
      <c r="F133" s="3" t="inlineStr">
        <is>
          <t>익선관에 곤룡포를 입고 김홍도에게 어용을 그리게 하다</t>
        </is>
      </c>
      <c r="G133" s="7" t="n">
        <v>35</v>
      </c>
      <c r="H133" s="7" t="n">
        <v>73</v>
      </c>
      <c r="I133" s="7" t="n">
        <v>1</v>
      </c>
      <c r="J133" s="3" t="inlineStr">
        <is>
          <t>[문화 보완] 화원 김홍도가 정조 어진을 그림</t>
        </is>
      </c>
    </row>
    <row r="134">
      <c r="A134" s="8" t="inlineStr">
        <is>
          <t>합계</t>
        </is>
      </c>
      <c r="B134" s="8" t="inlineStr"/>
      <c r="C134" s="8">
        <f>COUNTA(C2:C133)</f>
        <v/>
      </c>
      <c r="D134" s="8" t="inlineStr"/>
      <c r="E134" s="8" t="inlineStr"/>
      <c r="F134" s="8" t="inlineStr"/>
      <c r="G134" s="9">
        <f>SUM(G2:G133)</f>
        <v/>
      </c>
      <c r="H134" s="9">
        <f>SUM(H2:H133)</f>
        <v/>
      </c>
      <c r="I134" s="9">
        <f>SUM(I2:I133)</f>
        <v/>
      </c>
      <c r="J134" s="8" t="inlineStr">
        <is>
          <t>글자 수는 공백을 뺀 수</t>
        </is>
      </c>
    </row>
  </sheetData>
  <hyperlinks>
    <hyperlink ref="L1" location="'데이터 현황'!A1" display="← 데이터 현황으로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1" customWidth="1" min="3" max="3"/>
    <col width="50" customWidth="1" min="4" max="4"/>
  </cols>
  <sheetData>
    <row r="1">
      <c r="A1" s="2" t="inlineStr">
        <is>
          <t>회차</t>
        </is>
      </c>
      <c r="B1" s="2" t="inlineStr">
        <is>
          <t>문항</t>
        </is>
      </c>
      <c r="C1" s="2" t="inlineStr">
        <is>
          <t>정답 내용(우리말 요약)</t>
        </is>
      </c>
      <c r="D1" s="2" t="inlineStr">
        <is>
          <t>제외 이유</t>
        </is>
      </c>
      <c r="F1" s="6" t="inlineStr">
        <is>
          <t>← 데이터 현황으로</t>
        </is>
      </c>
    </row>
    <row r="2">
      <c r="A2" s="3" t="n">
        <v>65</v>
      </c>
      <c r="B2" s="3" t="n">
        <v>22</v>
      </c>
      <c r="C2" s="3" t="inlineStr">
        <is>
          <t>몽유도원도(그림 고르기)</t>
        </is>
      </c>
      <c r="D2" s="3" t="inlineStr">
        <is>
          <t>실록 원문에서 정답 근거를 찾지 못해 기사를 넣지 않음. 그림 문항. 안견 기사는 있으나 몽유도원도 없음</t>
        </is>
      </c>
    </row>
    <row r="3">
      <c r="A3" s="3" t="n">
        <v>65</v>
      </c>
      <c r="B3" s="3" t="n">
        <v>27</v>
      </c>
      <c r="C3" s="3" t="inlineStr">
        <is>
          <t>이익 곽우록 한전론</t>
        </is>
      </c>
      <c r="D3" s="3" t="inlineStr">
        <is>
          <t>실록 원문에서 정답 근거를 찾지 못해 기사를 넣지 않음. 실학자 저술 내용</t>
        </is>
      </c>
    </row>
    <row r="4">
      <c r="A4" s="3" t="n">
        <v>66</v>
      </c>
      <c r="B4" s="3" t="n">
        <v>24</v>
      </c>
      <c r="C4" s="3" t="inlineStr">
        <is>
          <t>홍대용 의산문답 무한우주론</t>
        </is>
      </c>
      <c r="D4" s="3" t="inlineStr">
        <is>
          <t>실록 원문에서 정답 근거를 찾지 못해 기사를 넣지 않음. 실학자 저술 내용</t>
        </is>
      </c>
    </row>
    <row r="5">
      <c r="A5" s="3" t="n">
        <v>66</v>
      </c>
      <c r="B5" s="3" t="n">
        <v>27</v>
      </c>
      <c r="C5" s="3" t="inlineStr">
        <is>
          <t>경복궁에서 조선 물산 공진회(일제강점기)</t>
        </is>
      </c>
      <c r="D5" s="3" t="inlineStr">
        <is>
          <t>실록 원문에서 정답 근거를 찾지 못해 기사를 넣지 않음. 실록 범위 밖(1915년)</t>
        </is>
      </c>
    </row>
    <row r="6">
      <c r="A6" s="3" t="n">
        <v>67</v>
      </c>
      <c r="B6" s="3" t="n">
        <v>25</v>
      </c>
      <c r="C6" s="3" t="inlineStr">
        <is>
          <t>정약용 여전론</t>
        </is>
      </c>
      <c r="D6" s="3" t="inlineStr">
        <is>
          <t>실록 원문에서 정답 근거를 찾지 못해 기사를 넣지 않음. 실학자 저술 내용</t>
        </is>
      </c>
    </row>
    <row r="7">
      <c r="A7" s="3" t="n">
        <v>70</v>
      </c>
      <c r="B7" s="3" t="n">
        <v>26</v>
      </c>
      <c r="C7" s="3" t="inlineStr">
        <is>
          <t>박지원 양반전</t>
        </is>
      </c>
      <c r="D7" s="3" t="inlineStr">
        <is>
          <t>실록 원문에서 정답 근거를 찾지 못해 기사를 넣지 않음. 실학자 저술 내용</t>
        </is>
      </c>
    </row>
    <row r="8">
      <c r="A8" s="3" t="n">
        <v>70</v>
      </c>
      <c r="B8" s="3" t="n">
        <v>27</v>
      </c>
      <c r="C8" s="3" t="inlineStr">
        <is>
          <t>김홍도 작품(그림 고르기)</t>
        </is>
      </c>
      <c r="D8" s="3" t="inlineStr">
        <is>
          <t>실록 원문에서 정답 근거를 찾지 못해 기사를 넣지 않음. 그림 문항. 김홍도가 정조 어진을 그린 기사(wva_10509003_002)는 있음</t>
        </is>
      </c>
    </row>
    <row r="9">
      <c r="A9" s="3" t="n">
        <v>71</v>
      </c>
      <c r="B9" s="3" t="n">
        <v>20</v>
      </c>
      <c r="C9" s="3" t="inlineStr">
        <is>
          <t>비변사가 흥선대원군 때 혁파</t>
        </is>
      </c>
      <c r="D9" s="3" t="inlineStr">
        <is>
          <t>실록 원문에서 정답 근거를 찾지 못해 기사를 넣지 않음. 고종 때 일이라 실록 범위 밖</t>
        </is>
      </c>
    </row>
    <row r="10">
      <c r="A10" s="3" t="n">
        <v>71</v>
      </c>
      <c r="B10" s="3" t="n">
        <v>25</v>
      </c>
      <c r="C10" s="3" t="inlineStr">
        <is>
          <t>김정희 북한산비 고증</t>
        </is>
      </c>
      <c r="D10" s="3" t="inlineStr">
        <is>
          <t>실록 원문에서 정답 근거를 찾지 못해 기사를 넣지 않음. 학자 개인 연구</t>
        </is>
      </c>
    </row>
    <row r="11">
      <c r="A11" s="3" t="n">
        <v>72</v>
      </c>
      <c r="B11" s="3" t="n">
        <v>22</v>
      </c>
      <c r="C11" s="3" t="inlineStr">
        <is>
          <t>통신사 기록 세계기록유산 등재</t>
        </is>
      </c>
      <c r="D11" s="3" t="inlineStr">
        <is>
          <t>실록 원문에서 정답 근거를 찾지 못해 기사를 넣지 않음. 현대 사실</t>
        </is>
      </c>
    </row>
    <row r="12">
      <c r="A12" s="3" t="n">
        <v>72</v>
      </c>
      <c r="B12" s="3" t="n">
        <v>23</v>
      </c>
      <c r="C12" s="3" t="inlineStr">
        <is>
          <t>강희안 고사관수도(그림 고르기)</t>
        </is>
      </c>
      <c r="D12" s="3" t="inlineStr">
        <is>
          <t>실록 원문에서 정답 근거를 찾지 못해 기사를 넣지 않음. 그림 문항</t>
        </is>
      </c>
    </row>
    <row r="13">
      <c r="A13" s="3" t="n">
        <v>73</v>
      </c>
      <c r="B13" s="3" t="n">
        <v>20</v>
      </c>
      <c r="C13" s="3" t="inlineStr">
        <is>
          <t>정도전 불씨잡변</t>
        </is>
      </c>
      <c r="D13" s="3" t="inlineStr">
        <is>
          <t>실록 원문에서 정답 근거를 찾지 못해 기사를 넣지 않음. 제목 기사 없음(저술 내용)</t>
        </is>
      </c>
    </row>
    <row r="14">
      <c r="A14" s="3" t="n">
        <v>73</v>
      </c>
      <c r="B14" s="3" t="n">
        <v>26</v>
      </c>
      <c r="C14" s="3" t="inlineStr">
        <is>
          <t>정선 작품(그림 고르기)</t>
        </is>
      </c>
      <c r="D14" s="3" t="inlineStr">
        <is>
          <t>실록 원문에서 정답 근거를 찾지 못해 기사를 넣지 않음. 그림 문항</t>
        </is>
      </c>
    </row>
    <row r="15">
      <c r="A15" s="3" t="n">
        <v>76</v>
      </c>
      <c r="B15" s="3" t="n">
        <v>24</v>
      </c>
      <c r="C15" s="3" t="inlineStr">
        <is>
          <t>이익 성호사설</t>
        </is>
      </c>
      <c r="D15" s="3" t="inlineStr">
        <is>
          <t>실록 원문에서 정답 근거를 찾지 못해 기사를 넣지 않음. 실학자 저술 내용</t>
        </is>
      </c>
    </row>
    <row r="16">
      <c r="A16" s="3" t="n">
        <v>76</v>
      </c>
      <c r="B16" s="3" t="n">
        <v>27</v>
      </c>
      <c r="C16" s="3" t="inlineStr">
        <is>
          <t>신윤복 작품(그림 고르기)</t>
        </is>
      </c>
      <c r="D16" s="3" t="inlineStr">
        <is>
          <t>실록 원문에서 정답 근거를 찾지 못해 기사를 넣지 않음. 그림 문항</t>
        </is>
      </c>
    </row>
    <row r="17">
      <c r="A17" s="3" t="n">
        <v>78</v>
      </c>
      <c r="B17" s="3" t="n">
        <v>26</v>
      </c>
      <c r="C17" s="3" t="inlineStr">
        <is>
          <t>김정희 작품(그림 고르기)</t>
        </is>
      </c>
      <c r="D17" s="3" t="inlineStr">
        <is>
          <t>실록 원문에서 정답 근거를 찾지 못해 기사를 넣지 않음. 그림 문항</t>
        </is>
      </c>
    </row>
    <row r="18">
      <c r="A18" s="3" t="n">
        <v>79</v>
      </c>
      <c r="B18" s="3" t="n">
        <v>25</v>
      </c>
      <c r="C18" s="3" t="inlineStr">
        <is>
          <t>홍대용 의산문답</t>
        </is>
      </c>
      <c r="D18" s="3" t="inlineStr">
        <is>
          <t>실록 원문에서 정답 근거를 찾지 못해 기사를 넣지 않음. 실학자 저술 내용</t>
        </is>
      </c>
    </row>
  </sheetData>
  <hyperlinks>
    <hyperlink ref="F1" location="'데이터 현황'!A1" display="← 데이터 현황으로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2026-10-02T05:45:52Z</dcterms:created>
  <dcterms:modified xmlns:dcterms="http://purl.org/dc/terms/" xmlns:xsi="http://www.w3.org/2001/XMLSchema-instance" xsi:type="dcterms:W3CDTF">2026-10-02T05:45:52Z</dcterms:modified>
</cp:coreProperties>
</file>